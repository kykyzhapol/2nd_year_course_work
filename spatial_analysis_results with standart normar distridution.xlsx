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588" yWindow="516" windowWidth="15996" windowHeight="5244"/>
  </bookViews>
  <sheets>
    <sheet name="Данные по регионам" sheetId="1" r:id="rId1"/>
    <sheet name="Глобальные индексы" sheetId="2" r:id="rId2"/>
  </sheets>
  <definedNames>
    <definedName name="_xlnm._FilterDatabase" localSheetId="0" hidden="1">'Данные по регионам'!$A$1:$O$80</definedName>
  </definedNames>
  <calcPr calcId="125725"/>
</workbook>
</file>

<file path=xl/calcChain.xml><?xml version="1.0" encoding="utf-8"?>
<calcChain xmlns="http://schemas.openxmlformats.org/spreadsheetml/2006/main">
  <c r="R3" i="1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2"/>
</calcChain>
</file>

<file path=xl/sharedStrings.xml><?xml version="1.0" encoding="utf-8"?>
<sst xmlns="http://schemas.openxmlformats.org/spreadsheetml/2006/main" count="258" uniqueCount="104">
  <si>
    <t>Регион</t>
  </si>
  <si>
    <t>2004</t>
  </si>
  <si>
    <t>Basket_2004</t>
  </si>
  <si>
    <t>Weight_2004</t>
  </si>
  <si>
    <t>z_std_2004</t>
  </si>
  <si>
    <t>Wz_lag_2004</t>
  </si>
  <si>
    <t>Local_Moran_2004</t>
  </si>
  <si>
    <t>Quadrant_2004</t>
  </si>
  <si>
    <t>2024</t>
  </si>
  <si>
    <t>Basket_2024</t>
  </si>
  <si>
    <t>Weight_2024</t>
  </si>
  <si>
    <t>z_std_2024</t>
  </si>
  <si>
    <t>Wz_lag_2024</t>
  </si>
  <si>
    <t>Local_Moran_2024</t>
  </si>
  <si>
    <t>Quadrant_2024</t>
  </si>
  <si>
    <t>Алтайский край</t>
  </si>
  <si>
    <t>Low-Low (Периферия)</t>
  </si>
  <si>
    <t>Амурская область</t>
  </si>
  <si>
    <t>High-High (Центр / Ядро)</t>
  </si>
  <si>
    <t>Архангельская область</t>
  </si>
  <si>
    <t>Астраханская область</t>
  </si>
  <si>
    <t>High-Low (Полюс роста / Одиночка)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</si>
  <si>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</si>
  <si>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</si>
  <si>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</si>
  <si>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</si>
  <si>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</si>
  <si>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</si>
  <si>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Low-High (Транзитная зона / Аномалия)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</si>
  <si>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</si>
  <si>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</si>
  <si>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</si>
  <si>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</si>
  <si>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</si>
  <si>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</si>
  <si>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</si>
  <si>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</si>
  <si>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</si>
  <si>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область-Кузбасс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</si>
  <si>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</si>
  <si>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</si>
  <si>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</si>
  <si>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</si>
  <si>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</si>
  <si>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</si>
  <si>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</si>
  <si>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</si>
  <si>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</si>
  <si>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</si>
  <si>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</si>
  <si>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</si>
  <si>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</si>
  <si>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</si>
  <si>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</si>
  <si>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</si>
  <si>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</si>
  <si>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</si>
  <si>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</si>
  <si>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</si>
  <si>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</si>
  <si>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</si>
  <si>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</si>
  <si>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</si>
  <si>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</si>
  <si>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</si>
  <si>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</si>
  <si>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</si>
  <si>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</si>
  <si>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</si>
  <si>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</si>
  <si>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</si>
  <si>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</si>
  <si>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</si>
  <si>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</si>
  <si>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</si>
  <si>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</si>
  <si>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</si>
  <si>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</si>
  <si>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</si>
  <si>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</si>
  <si>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</si>
  <si>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</si>
  <si>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</si>
  <si>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</si>
  <si>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</si>
  <si>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</si>
  <si>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</si>
  <si>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</si>
  <si>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</si>
  <si>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</si>
  <si>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</si>
  <si>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</si>
  <si>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</si>
  <si>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Чувашская Республика</t>
  </si>
  <si>
    <t>Чукотский автономный округ</t>
  </si>
  <si>
    <t>Ярославская область</t>
  </si>
  <si>
    <t>г.Москва</t>
  </si>
  <si>
    <t>г.Санкт-Петербург</t>
  </si>
  <si>
    <t>Год исследования</t>
  </si>
  <si>
    <t>Глобальный Индекс Морана (Moran's I)</t>
  </si>
  <si>
    <t>Константа регрессии (Alpha)</t>
  </si>
  <si>
    <t>Количество проанализированных субъектов</t>
  </si>
  <si>
    <t>N01 2004</t>
  </si>
  <si>
    <t>N01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</si>
</sst>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0"/>
  <sheetViews>
    <sheetView tabSelected="1" topLeftCell="A61" workbookViewId="0">
      <selection activeCell="R77" sqref="R77"/>
    </sheetView>
  </sheetViews>
  <sheetFormatPr defaultRowHeight="14.4"/>
  <cols>
    <col min="1" max="1" width="28.218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102</v>
      </c>
      <c r="R1" t="s">
        <v>103</v>
      </c>
    </row>
    <row r="2" spans="1:18">
      <c r="A2" t="s">
        <v>15</v>
      </c>
      <c r="B2">
        <v>44934.9</v>
      </c>
      <c r="C2">
        <v>3248.7833333333328</v>
      </c>
      <c r="D2">
        <v>13.83130094856023</v>
      </c>
      <c r="E2">
        <v>-0.53286778008994995</v>
      </c>
      <c r="F2">
        <v>-0.1506445304970655</v>
      </c>
      <c r="G2">
        <v>8.0273616548664037E-2</v>
      </c>
      <c r="H2" t="s">
        <v>16</v>
      </c>
      <c r="I2">
        <v>605546.5</v>
      </c>
      <c r="J2">
        <v>22539.224999999999</v>
      </c>
      <c r="K2">
        <v>26.86634079033329</v>
      </c>
      <c r="L2">
        <v>-0.67685449166496303</v>
      </c>
      <c r="M2">
        <v>-0.38664600695581952</v>
      </c>
      <c r="N2">
        <v>0.26170308649236901</v>
      </c>
      <c r="O2" t="s">
        <v>16</v>
      </c>
      <c r="Q2">
        <f>(G2-AVERAGE(G:G))/SQRT(VAR(G:G))</f>
        <v>-0.2305367594520526</v>
      </c>
      <c r="R2">
        <f>(N2-AVERAGE(N:N))/SQRT(VAR(N:N))</f>
        <v>4.6225680915724154E-2</v>
      </c>
    </row>
    <row r="3" spans="1:18">
      <c r="A3" t="s">
        <v>17</v>
      </c>
      <c r="B3">
        <v>72937</v>
      </c>
      <c r="C3">
        <v>4455.935833333333</v>
      </c>
      <c r="D3">
        <v>16.368503211914149</v>
      </c>
      <c r="E3">
        <v>-0.30903491318129328</v>
      </c>
      <c r="F3">
        <v>-9.7558781301268049E-2</v>
      </c>
      <c r="G3">
        <v>3.014906950951016E-2</v>
      </c>
      <c r="H3" t="s">
        <v>16</v>
      </c>
      <c r="I3">
        <v>1365680</v>
      </c>
      <c r="J3">
        <v>23677.18416666667</v>
      </c>
      <c r="K3">
        <v>57.679156034214508</v>
      </c>
      <c r="L3">
        <v>0.3863726692369579</v>
      </c>
      <c r="M3">
        <v>0.17116736045592809</v>
      </c>
      <c r="N3">
        <v>6.6134389945601474E-2</v>
      </c>
      <c r="O3" t="s">
        <v>18</v>
      </c>
      <c r="Q3">
        <f t="shared" ref="Q3:Q66" si="0">(G3-AVERAGE(G:G))/SQRT(VAR(G:G))</f>
        <v>-0.31860900823765059</v>
      </c>
      <c r="R3">
        <f t="shared" ref="R3:R66" si="1">(N3-AVERAGE(N:N))/SQRT(VAR(N:N))</f>
        <v>-0.26693605607744569</v>
      </c>
    </row>
    <row r="4" spans="1:18">
      <c r="A4" t="s">
        <v>19</v>
      </c>
      <c r="B4">
        <v>109045.7</v>
      </c>
      <c r="C4">
        <v>4045.0349999999999</v>
      </c>
      <c r="D4">
        <v>26.957912601497881</v>
      </c>
      <c r="E4">
        <v>0.62516646948921806</v>
      </c>
      <c r="F4">
        <v>1.498599386395207</v>
      </c>
      <c r="G4">
        <v>0.93687408757139989</v>
      </c>
      <c r="H4" t="s">
        <v>18</v>
      </c>
      <c r="I4">
        <v>1449247</v>
      </c>
      <c r="J4">
        <v>24886.578333333331</v>
      </c>
      <c r="K4">
        <v>58.234080257584623</v>
      </c>
      <c r="L4">
        <v>0.40552088733581132</v>
      </c>
      <c r="M4">
        <v>1.001593440633409</v>
      </c>
      <c r="N4">
        <v>0.40616706079538811</v>
      </c>
      <c r="O4" t="s">
        <v>18</v>
      </c>
      <c r="Q4">
        <f t="shared" si="0"/>
        <v>1.2745687078321526</v>
      </c>
      <c r="R4">
        <f t="shared" si="1"/>
        <v>0.27755405771886688</v>
      </c>
    </row>
    <row r="5" spans="1:18">
      <c r="A5" t="s">
        <v>20</v>
      </c>
      <c r="B5">
        <v>56357.5</v>
      </c>
      <c r="C5">
        <v>3346.934166666666</v>
      </c>
      <c r="D5">
        <v>16.838544528686828</v>
      </c>
      <c r="E5">
        <v>-0.26756770458765428</v>
      </c>
      <c r="F5">
        <v>-0.61811321251352047</v>
      </c>
      <c r="G5">
        <v>0.16538713344754369</v>
      </c>
      <c r="H5" t="s">
        <v>16</v>
      </c>
      <c r="I5">
        <v>944946.6</v>
      </c>
      <c r="J5">
        <v>19447.07583333334</v>
      </c>
      <c r="K5">
        <v>48.59067800724624</v>
      </c>
      <c r="L5">
        <v>7.2765599806589684E-2</v>
      </c>
      <c r="M5">
        <v>-0.3673229244082562</v>
      </c>
      <c r="N5">
        <v>-2.6728472917277361E-2</v>
      </c>
      <c r="O5" t="s">
        <v>21</v>
      </c>
      <c r="Q5">
        <f t="shared" si="0"/>
        <v>-8.0986503576825325E-2</v>
      </c>
      <c r="R5">
        <f t="shared" si="1"/>
        <v>-0.41563621080462781</v>
      </c>
    </row>
    <row r="6" spans="1:18">
      <c r="A6" t="s">
        <v>22</v>
      </c>
      <c r="B6">
        <v>75629.399999999994</v>
      </c>
      <c r="C6">
        <v>3344.7799999999988</v>
      </c>
      <c r="D6">
        <v>22.611173231124319</v>
      </c>
      <c r="E6">
        <v>0.24169560907412629</v>
      </c>
      <c r="F6">
        <v>-0.3264792941660376</v>
      </c>
      <c r="G6">
        <v>-7.8908611853551303E-2</v>
      </c>
      <c r="H6" t="s">
        <v>21</v>
      </c>
      <c r="I6">
        <v>1015794.3</v>
      </c>
      <c r="J6">
        <v>19544.084999999999</v>
      </c>
      <c r="K6">
        <v>51.974513004829838</v>
      </c>
      <c r="L6">
        <v>0.18952822759522769</v>
      </c>
      <c r="M6">
        <v>-0.34349325898819261</v>
      </c>
      <c r="N6">
        <v>-6.5101668566940676E-2</v>
      </c>
      <c r="O6" t="s">
        <v>21</v>
      </c>
      <c r="Q6">
        <f t="shared" si="0"/>
        <v>-0.51023079461479803</v>
      </c>
      <c r="R6">
        <f t="shared" si="1"/>
        <v>-0.47708273479244617</v>
      </c>
    </row>
    <row r="7" spans="1:18">
      <c r="A7" t="s">
        <v>23</v>
      </c>
      <c r="B7">
        <v>37719.1</v>
      </c>
      <c r="C7">
        <v>3308.16</v>
      </c>
      <c r="D7">
        <v>11.401836670535889</v>
      </c>
      <c r="E7">
        <v>-0.74719596442773362</v>
      </c>
      <c r="F7">
        <v>-0.27448713396566649</v>
      </c>
      <c r="G7">
        <v>0.20509567878648069</v>
      </c>
      <c r="H7" t="s">
        <v>16</v>
      </c>
      <c r="I7">
        <v>636574.9</v>
      </c>
      <c r="J7">
        <v>21276.279166666671</v>
      </c>
      <c r="K7">
        <v>29.919465476713409</v>
      </c>
      <c r="L7">
        <v>-0.57150335557154441</v>
      </c>
      <c r="M7">
        <v>-0.36239143556948289</v>
      </c>
      <c r="N7">
        <v>0.20710792145834861</v>
      </c>
      <c r="O7" t="s">
        <v>16</v>
      </c>
      <c r="Q7">
        <f t="shared" si="0"/>
        <v>-1.1215880387487246E-2</v>
      </c>
      <c r="R7">
        <f t="shared" si="1"/>
        <v>-4.119688218037984E-2</v>
      </c>
    </row>
    <row r="8" spans="1:18">
      <c r="A8" t="s">
        <v>24</v>
      </c>
      <c r="B8">
        <v>49353.4</v>
      </c>
      <c r="C8">
        <v>3337.9775</v>
      </c>
      <c r="D8">
        <v>14.785420213287839</v>
      </c>
      <c r="E8">
        <v>-0.44869504641342761</v>
      </c>
      <c r="F8">
        <v>-0.1661193601394442</v>
      </c>
      <c r="G8">
        <v>7.4536934007936817E-2</v>
      </c>
      <c r="H8" t="s">
        <v>16</v>
      </c>
      <c r="I8">
        <v>743499.4</v>
      </c>
      <c r="J8">
        <v>22637.308333333331</v>
      </c>
      <c r="K8">
        <v>32.843984322341029</v>
      </c>
      <c r="L8">
        <v>-0.47058989327899098</v>
      </c>
      <c r="M8">
        <v>-0.22850676733871181</v>
      </c>
      <c r="N8">
        <v>0.10753297525545159</v>
      </c>
      <c r="O8" t="s">
        <v>16</v>
      </c>
      <c r="Q8">
        <f t="shared" si="0"/>
        <v>-0.24061650204875401</v>
      </c>
      <c r="R8">
        <f t="shared" si="1"/>
        <v>-0.20064501301375007</v>
      </c>
    </row>
    <row r="9" spans="1:18">
      <c r="A9" t="s">
        <v>25</v>
      </c>
      <c r="B9">
        <v>57928</v>
      </c>
      <c r="C9">
        <v>3371.9641666666671</v>
      </c>
      <c r="D9">
        <v>17.17930474251283</v>
      </c>
      <c r="E9">
        <v>-0.23750571990053029</v>
      </c>
      <c r="F9">
        <v>-0.50373383618094336</v>
      </c>
      <c r="G9">
        <v>0.11963966740041081</v>
      </c>
      <c r="H9" t="s">
        <v>16</v>
      </c>
      <c r="I9">
        <v>621115.4</v>
      </c>
      <c r="J9">
        <v>19804.680833333339</v>
      </c>
      <c r="K9">
        <v>31.362050478218169</v>
      </c>
      <c r="L9">
        <v>-0.52172551010790447</v>
      </c>
      <c r="M9">
        <v>-0.2886434653311481</v>
      </c>
      <c r="N9">
        <v>0.1505926591892065</v>
      </c>
      <c r="O9" t="s">
        <v>16</v>
      </c>
      <c r="Q9">
        <f t="shared" si="0"/>
        <v>-0.1613679224426465</v>
      </c>
      <c r="R9">
        <f t="shared" si="1"/>
        <v>-0.13169407325102117</v>
      </c>
    </row>
    <row r="10" spans="1:18">
      <c r="A10" t="s">
        <v>26</v>
      </c>
      <c r="B10">
        <v>129015.6</v>
      </c>
      <c r="C10">
        <v>3560.749166666666</v>
      </c>
      <c r="D10">
        <v>36.2327122639688</v>
      </c>
      <c r="E10">
        <v>1.443392524399814</v>
      </c>
      <c r="F10">
        <v>4.9570252636310312E-2</v>
      </c>
      <c r="G10">
        <v>7.1549332087860476E-2</v>
      </c>
      <c r="H10" t="s">
        <v>18</v>
      </c>
      <c r="I10">
        <v>1081980.5</v>
      </c>
      <c r="J10">
        <v>23420.460833333331</v>
      </c>
      <c r="K10">
        <v>46.198087548305793</v>
      </c>
      <c r="L10">
        <v>-9.793138845680718E-3</v>
      </c>
      <c r="M10">
        <v>-0.1732520489619227</v>
      </c>
      <c r="N10">
        <v>1.696681370782783E-3</v>
      </c>
      <c r="O10" t="s">
        <v>16</v>
      </c>
      <c r="Q10">
        <f t="shared" si="0"/>
        <v>-0.24586592244494748</v>
      </c>
      <c r="R10">
        <f t="shared" si="1"/>
        <v>-0.37011936251383276</v>
      </c>
    </row>
    <row r="11" spans="1:18">
      <c r="A11" t="s">
        <v>27</v>
      </c>
      <c r="B11">
        <v>49530</v>
      </c>
      <c r="C11">
        <v>3425.2908333333339</v>
      </c>
      <c r="D11">
        <v>14.460085992697939</v>
      </c>
      <c r="E11">
        <v>-0.47739614460725799</v>
      </c>
      <c r="F11">
        <v>2.3601274899527212E-2</v>
      </c>
      <c r="G11">
        <v>-1.126715764485034E-2</v>
      </c>
      <c r="H11" t="s">
        <v>28</v>
      </c>
      <c r="I11">
        <v>757721.5</v>
      </c>
      <c r="J11">
        <v>21556.991666666669</v>
      </c>
      <c r="K11">
        <v>35.149686547945187</v>
      </c>
      <c r="L11">
        <v>-0.39102932045203481</v>
      </c>
      <c r="M11">
        <v>-0.29483011139863541</v>
      </c>
      <c r="N11">
        <v>0.11528721810900611</v>
      </c>
      <c r="O11" t="s">
        <v>16</v>
      </c>
      <c r="Q11">
        <f t="shared" si="0"/>
        <v>-0.39138014487955186</v>
      </c>
      <c r="R11">
        <f t="shared" si="1"/>
        <v>-0.1882282397572729</v>
      </c>
    </row>
    <row r="12" spans="1:18">
      <c r="A12" t="s">
        <v>29</v>
      </c>
      <c r="B12">
        <v>60029.9</v>
      </c>
      <c r="C12">
        <v>4321.7533333333331</v>
      </c>
      <c r="D12">
        <v>13.890172661404399</v>
      </c>
      <c r="E12">
        <v>-0.52767409708877144</v>
      </c>
      <c r="F12">
        <v>-0.21389399447030169</v>
      </c>
      <c r="G12">
        <v>0.11286632040482721</v>
      </c>
      <c r="H12" t="s">
        <v>16</v>
      </c>
      <c r="I12">
        <v>786447.5</v>
      </c>
      <c r="J12">
        <v>26174.77916666666</v>
      </c>
      <c r="K12">
        <v>30.046003253449928</v>
      </c>
      <c r="L12">
        <v>-0.56713704239822504</v>
      </c>
      <c r="M12">
        <v>0.2042277698637</v>
      </c>
      <c r="N12">
        <v>-0.1158251333760842</v>
      </c>
      <c r="O12" t="s">
        <v>28</v>
      </c>
      <c r="Q12">
        <f t="shared" si="0"/>
        <v>-0.17326915521070008</v>
      </c>
      <c r="R12">
        <f t="shared" si="1"/>
        <v>-0.55830559216392084</v>
      </c>
    </row>
    <row r="13" spans="1:18">
      <c r="A13" t="s">
        <v>30</v>
      </c>
      <c r="B13">
        <v>53845.5</v>
      </c>
      <c r="C13">
        <v>3809.73</v>
      </c>
      <c r="D13">
        <v>14.133678764636869</v>
      </c>
      <c r="E13">
        <v>-0.50619190389372493</v>
      </c>
      <c r="F13">
        <v>4.49310692311881E-2</v>
      </c>
      <c r="G13">
        <v>-2.274374347811587E-2</v>
      </c>
      <c r="H13" t="s">
        <v>28</v>
      </c>
      <c r="I13">
        <v>923856.6</v>
      </c>
      <c r="J13">
        <v>22789.320833333331</v>
      </c>
      <c r="K13">
        <v>40.539014161786668</v>
      </c>
      <c r="L13">
        <v>-0.2050651541568802</v>
      </c>
      <c r="M13">
        <v>0.4068001774440631</v>
      </c>
      <c r="N13">
        <v>-8.3420541098613021E-2</v>
      </c>
      <c r="O13" t="s">
        <v>28</v>
      </c>
      <c r="Q13">
        <f t="shared" si="0"/>
        <v>-0.4115452891536156</v>
      </c>
      <c r="R13">
        <f t="shared" si="1"/>
        <v>-0.50641651899754325</v>
      </c>
    </row>
    <row r="14" spans="1:18">
      <c r="A14" t="s">
        <v>31</v>
      </c>
      <c r="B14">
        <v>35732.699999999997</v>
      </c>
      <c r="C14">
        <v>3666.3791666666662</v>
      </c>
      <c r="D14">
        <v>9.7460459967883857</v>
      </c>
      <c r="E14">
        <v>-0.8932703940696175</v>
      </c>
      <c r="F14">
        <v>-0.1257792427319229</v>
      </c>
      <c r="G14">
        <v>0.1123548737209229</v>
      </c>
      <c r="H14" t="s">
        <v>16</v>
      </c>
      <c r="I14">
        <v>557301.6</v>
      </c>
      <c r="J14">
        <v>21554.81500000001</v>
      </c>
      <c r="K14">
        <v>25.855086206956539</v>
      </c>
      <c r="L14">
        <v>-0.7117488475075775</v>
      </c>
      <c r="M14">
        <v>-0.26027005639693451</v>
      </c>
      <c r="N14">
        <v>0.18524691268125029</v>
      </c>
      <c r="O14" t="s">
        <v>16</v>
      </c>
      <c r="Q14">
        <f t="shared" si="0"/>
        <v>-0.17416780192665351</v>
      </c>
      <c r="R14">
        <f t="shared" si="1"/>
        <v>-7.6202645382477507E-2</v>
      </c>
    </row>
    <row r="15" spans="1:18">
      <c r="A15" t="s">
        <v>32</v>
      </c>
      <c r="B15">
        <v>84014.3</v>
      </c>
      <c r="C15">
        <v>4031.0625</v>
      </c>
      <c r="D15">
        <v>20.84172597175063</v>
      </c>
      <c r="E15">
        <v>8.5594355882853398E-2</v>
      </c>
      <c r="F15">
        <v>-5.441337533588575E-2</v>
      </c>
      <c r="G15">
        <v>-4.6574778132870828E-3</v>
      </c>
      <c r="H15" t="s">
        <v>21</v>
      </c>
      <c r="I15">
        <v>1284373.8</v>
      </c>
      <c r="J15">
        <v>21186.102500000001</v>
      </c>
      <c r="K15">
        <v>60.623411030886878</v>
      </c>
      <c r="L15">
        <v>0.48796714725872492</v>
      </c>
      <c r="M15">
        <v>6.7769725152672822E-2</v>
      </c>
      <c r="N15">
        <v>3.3069399453257611E-2</v>
      </c>
      <c r="O15" t="s">
        <v>18</v>
      </c>
      <c r="Q15">
        <f t="shared" si="0"/>
        <v>-0.379766486484517</v>
      </c>
      <c r="R15">
        <f t="shared" si="1"/>
        <v>-0.31988261674426932</v>
      </c>
    </row>
    <row r="16" spans="1:18">
      <c r="A16" t="s">
        <v>33</v>
      </c>
      <c r="B16">
        <v>32884.800000000003</v>
      </c>
      <c r="C16">
        <v>3193.37</v>
      </c>
      <c r="D16">
        <v>10.297835828607401</v>
      </c>
      <c r="E16">
        <v>-0.84459130302079066</v>
      </c>
      <c r="F16">
        <v>-0.8313156330028677</v>
      </c>
      <c r="G16">
        <v>0.70212195369944541</v>
      </c>
      <c r="H16" t="s">
        <v>16</v>
      </c>
      <c r="I16">
        <v>381560.1</v>
      </c>
      <c r="J16">
        <v>21198.9575</v>
      </c>
      <c r="K16">
        <v>17.999003017011571</v>
      </c>
      <c r="L16">
        <v>-0.98283089436836168</v>
      </c>
      <c r="M16">
        <v>-0.84579251757594565</v>
      </c>
      <c r="N16">
        <v>0.83127101649923496</v>
      </c>
      <c r="O16" t="s">
        <v>16</v>
      </c>
      <c r="Q16">
        <f t="shared" si="0"/>
        <v>0.86209319316723665</v>
      </c>
      <c r="R16">
        <f t="shared" si="1"/>
        <v>0.95826776866313823</v>
      </c>
    </row>
    <row r="17" spans="1:18">
      <c r="A17" t="s">
        <v>34</v>
      </c>
      <c r="B17">
        <v>70426</v>
      </c>
      <c r="C17">
        <v>4089.045833333334</v>
      </c>
      <c r="D17">
        <v>17.22308892355694</v>
      </c>
      <c r="E17">
        <v>-0.23364306420693379</v>
      </c>
      <c r="F17">
        <v>-0.45358203745188302</v>
      </c>
      <c r="G17">
        <v>0.1059762970994822</v>
      </c>
      <c r="H17" t="s">
        <v>16</v>
      </c>
      <c r="I17">
        <v>937145.2</v>
      </c>
      <c r="J17">
        <v>23671.306666666671</v>
      </c>
      <c r="K17">
        <v>39.58992265178432</v>
      </c>
      <c r="L17">
        <v>-0.23781451067068679</v>
      </c>
      <c r="M17">
        <v>-0.60069073744301416</v>
      </c>
      <c r="N17">
        <v>0.14285297378942441</v>
      </c>
      <c r="O17" t="s">
        <v>16</v>
      </c>
      <c r="Q17">
        <f t="shared" si="0"/>
        <v>-0.185375396214991</v>
      </c>
      <c r="R17">
        <f t="shared" si="1"/>
        <v>-0.14408753583666983</v>
      </c>
    </row>
    <row r="18" spans="1:18">
      <c r="A18" t="s">
        <v>35</v>
      </c>
      <c r="B18">
        <v>56325.599999999999</v>
      </c>
      <c r="C18">
        <v>3589.768333333333</v>
      </c>
      <c r="D18">
        <v>15.69059470411508</v>
      </c>
      <c r="E18">
        <v>-0.36884023772875502</v>
      </c>
      <c r="F18">
        <v>9.7681496559424791E-2</v>
      </c>
      <c r="G18">
        <v>-3.6028866412678807E-2</v>
      </c>
      <c r="H18" t="s">
        <v>28</v>
      </c>
      <c r="I18">
        <v>855283</v>
      </c>
      <c r="J18">
        <v>22322.370833333331</v>
      </c>
      <c r="K18">
        <v>38.315060993558589</v>
      </c>
      <c r="L18">
        <v>-0.28180489359057359</v>
      </c>
      <c r="M18">
        <v>1.801373412685334E-2</v>
      </c>
      <c r="N18">
        <v>-5.0763584287867886E-3</v>
      </c>
      <c r="O18" t="s">
        <v>28</v>
      </c>
      <c r="Q18">
        <f t="shared" si="0"/>
        <v>-0.43488815649815471</v>
      </c>
      <c r="R18">
        <f t="shared" si="1"/>
        <v>-0.38096494744541637</v>
      </c>
    </row>
    <row r="19" spans="1:18">
      <c r="A19" t="s">
        <v>36</v>
      </c>
      <c r="B19">
        <v>101205.1</v>
      </c>
      <c r="C19">
        <v>5891.0775000000003</v>
      </c>
      <c r="D19">
        <v>17.179386962741539</v>
      </c>
      <c r="E19">
        <v>-0.23749846640333219</v>
      </c>
      <c r="F19">
        <v>0.66409668607154537</v>
      </c>
      <c r="G19">
        <v>-0.1577219444855272</v>
      </c>
      <c r="H19" t="s">
        <v>28</v>
      </c>
      <c r="I19">
        <v>1611200.8</v>
      </c>
      <c r="J19">
        <v>34269.85833333333</v>
      </c>
      <c r="K19">
        <v>47.015099517724877</v>
      </c>
      <c r="L19">
        <v>1.8398680363077079E-2</v>
      </c>
      <c r="M19">
        <v>2.8952301276801329</v>
      </c>
      <c r="N19">
        <v>5.3268413696737599E-2</v>
      </c>
      <c r="O19" t="s">
        <v>18</v>
      </c>
      <c r="Q19">
        <f t="shared" si="0"/>
        <v>-0.64871119691675649</v>
      </c>
      <c r="R19">
        <f t="shared" si="1"/>
        <v>-0.28753818485035781</v>
      </c>
    </row>
    <row r="20" spans="1:18">
      <c r="A20" t="s">
        <v>37</v>
      </c>
      <c r="B20">
        <v>29348.9</v>
      </c>
      <c r="C20">
        <v>3224.0766666666668</v>
      </c>
      <c r="D20">
        <v>9.1030403536723163</v>
      </c>
      <c r="E20">
        <v>-0.94999657574456986</v>
      </c>
      <c r="F20">
        <v>-0.61600601209812522</v>
      </c>
      <c r="G20">
        <v>0.58520360213128708</v>
      </c>
      <c r="H20" t="s">
        <v>16</v>
      </c>
      <c r="I20">
        <v>347710.7</v>
      </c>
      <c r="J20">
        <v>20528.028333333328</v>
      </c>
      <c r="K20">
        <v>16.938338858164411</v>
      </c>
      <c r="L20">
        <v>-1.019430177275672</v>
      </c>
      <c r="M20">
        <v>-0.65404803917576348</v>
      </c>
      <c r="N20">
        <v>0.66675630852375412</v>
      </c>
      <c r="O20" t="s">
        <v>16</v>
      </c>
      <c r="Q20">
        <f t="shared" si="0"/>
        <v>0.65665967296266836</v>
      </c>
      <c r="R20">
        <f t="shared" si="1"/>
        <v>0.6948323998120427</v>
      </c>
    </row>
    <row r="21" spans="1:18">
      <c r="A21" t="s">
        <v>38</v>
      </c>
      <c r="B21">
        <v>85850.4</v>
      </c>
      <c r="C21">
        <v>3577.6416666666669</v>
      </c>
      <c r="D21">
        <v>23.996366321389552</v>
      </c>
      <c r="E21">
        <v>0.36389782570240259</v>
      </c>
      <c r="F21">
        <v>9.7374041092906649E-3</v>
      </c>
      <c r="G21">
        <v>3.5434201833565138E-3</v>
      </c>
      <c r="H21" t="s">
        <v>18</v>
      </c>
      <c r="I21">
        <v>716693.7</v>
      </c>
      <c r="J21">
        <v>20152.863333333338</v>
      </c>
      <c r="K21">
        <v>35.562872041838872</v>
      </c>
      <c r="L21">
        <v>-0.37677193967973838</v>
      </c>
      <c r="M21">
        <v>-0.19516239745579539</v>
      </c>
      <c r="N21">
        <v>7.3531715041968079E-2</v>
      </c>
      <c r="O21" t="s">
        <v>16</v>
      </c>
      <c r="Q21">
        <f t="shared" si="0"/>
        <v>-0.36535694921605022</v>
      </c>
      <c r="R21">
        <f t="shared" si="1"/>
        <v>-0.25509081081485657</v>
      </c>
    </row>
    <row r="22" spans="1:18">
      <c r="A22" t="s">
        <v>39</v>
      </c>
      <c r="B22">
        <v>48464.800000000003</v>
      </c>
      <c r="C22">
        <v>3531.4666666666672</v>
      </c>
      <c r="D22">
        <v>13.72370308842407</v>
      </c>
      <c r="E22">
        <v>-0.5423601007674812</v>
      </c>
      <c r="F22">
        <v>0.35032065862240291</v>
      </c>
      <c r="G22">
        <v>-0.18999994771137679</v>
      </c>
      <c r="H22" t="s">
        <v>28</v>
      </c>
      <c r="I22">
        <v>635116.80000000005</v>
      </c>
      <c r="J22">
        <v>20467.8675</v>
      </c>
      <c r="K22">
        <v>31.029944863577018</v>
      </c>
      <c r="L22">
        <v>-0.53318514815070284</v>
      </c>
      <c r="M22">
        <v>0.1070429562070376</v>
      </c>
      <c r="N22">
        <v>-5.7073714463738517E-2</v>
      </c>
      <c r="O22" t="s">
        <v>28</v>
      </c>
      <c r="Q22">
        <f t="shared" si="0"/>
        <v>-0.70542585068088448</v>
      </c>
      <c r="R22">
        <f t="shared" si="1"/>
        <v>-0.46422767109436075</v>
      </c>
    </row>
    <row r="23" spans="1:18">
      <c r="A23" t="s">
        <v>40</v>
      </c>
      <c r="B23">
        <v>52661</v>
      </c>
      <c r="C23">
        <v>3371.979166666667</v>
      </c>
      <c r="D23">
        <v>15.617237650983901</v>
      </c>
      <c r="E23">
        <v>-0.37531182249260281</v>
      </c>
      <c r="F23">
        <v>6.5730385508210878E-2</v>
      </c>
      <c r="G23">
        <v>-2.4669390778227988E-2</v>
      </c>
      <c r="H23" t="s">
        <v>28</v>
      </c>
      <c r="I23">
        <v>711209.6</v>
      </c>
      <c r="J23">
        <v>20412.02416666667</v>
      </c>
      <c r="K23">
        <v>34.842678716862522</v>
      </c>
      <c r="L23">
        <v>-0.40162293424659112</v>
      </c>
      <c r="M23">
        <v>-0.2847189065132234</v>
      </c>
      <c r="N23">
        <v>0.1143496426693216</v>
      </c>
      <c r="O23" t="s">
        <v>16</v>
      </c>
      <c r="Q23">
        <f t="shared" si="0"/>
        <v>-0.41492878283299617</v>
      </c>
      <c r="R23">
        <f t="shared" si="1"/>
        <v>-0.18972956772252589</v>
      </c>
    </row>
    <row r="24" spans="1:18">
      <c r="A24" t="s">
        <v>41</v>
      </c>
      <c r="B24">
        <v>61291.7</v>
      </c>
      <c r="C24">
        <v>3666.5533333333328</v>
      </c>
      <c r="D24">
        <v>16.71643487162331</v>
      </c>
      <c r="E24">
        <v>-0.27834026104187681</v>
      </c>
      <c r="F24">
        <v>-0.80274195885616617</v>
      </c>
      <c r="G24">
        <v>0.22343540637729281</v>
      </c>
      <c r="H24" t="s">
        <v>16</v>
      </c>
      <c r="I24">
        <v>922283.2</v>
      </c>
      <c r="J24">
        <v>23229.359166666662</v>
      </c>
      <c r="K24">
        <v>39.703342368714367</v>
      </c>
      <c r="L24">
        <v>-0.2339008493363568</v>
      </c>
      <c r="M24">
        <v>-0.70447214532218017</v>
      </c>
      <c r="N24">
        <v>0.16477663312466331</v>
      </c>
      <c r="O24" t="s">
        <v>16</v>
      </c>
      <c r="Q24">
        <f t="shared" si="0"/>
        <v>2.1008272177450653E-2</v>
      </c>
      <c r="R24">
        <f t="shared" si="1"/>
        <v>-0.10898145107004097</v>
      </c>
    </row>
    <row r="25" spans="1:18">
      <c r="A25" t="s">
        <v>42</v>
      </c>
      <c r="B25">
        <v>125287.8</v>
      </c>
      <c r="C25">
        <v>4246.9591666666674</v>
      </c>
      <c r="D25">
        <v>29.50058973567559</v>
      </c>
      <c r="E25">
        <v>0.84948233140782881</v>
      </c>
      <c r="F25">
        <v>1.0637630141966159</v>
      </c>
      <c r="G25">
        <v>0.90364788536516039</v>
      </c>
      <c r="H25" t="s">
        <v>18</v>
      </c>
      <c r="I25">
        <v>1522495.3</v>
      </c>
      <c r="J25">
        <v>23292.31</v>
      </c>
      <c r="K25">
        <v>65.364719085397709</v>
      </c>
      <c r="L25">
        <v>0.65157074731471198</v>
      </c>
      <c r="M25">
        <v>0.81134026006929649</v>
      </c>
      <c r="N25">
        <v>0.52864557957986424</v>
      </c>
      <c r="O25" t="s">
        <v>18</v>
      </c>
      <c r="Q25">
        <f t="shared" si="0"/>
        <v>1.2161880037706738</v>
      </c>
      <c r="R25">
        <f t="shared" si="1"/>
        <v>0.4736773962907172</v>
      </c>
    </row>
    <row r="26" spans="1:18">
      <c r="A26" t="s">
        <v>43</v>
      </c>
      <c r="B26">
        <v>42889.3</v>
      </c>
      <c r="C26">
        <v>3528.395</v>
      </c>
      <c r="D26">
        <v>12.155470121684219</v>
      </c>
      <c r="E26">
        <v>-0.68071015901708831</v>
      </c>
      <c r="F26">
        <v>2.3860910122552541</v>
      </c>
      <c r="G26">
        <v>-1.6242363923815191</v>
      </c>
      <c r="H26" t="s">
        <v>28</v>
      </c>
      <c r="I26">
        <v>615394.1</v>
      </c>
      <c r="J26">
        <v>20161.231666666659</v>
      </c>
      <c r="K26">
        <v>30.523636163432151</v>
      </c>
      <c r="L26">
        <v>-0.55065583875570612</v>
      </c>
      <c r="M26">
        <v>1.8049800664627249</v>
      </c>
      <c r="N26">
        <v>-0.99392281243536185</v>
      </c>
      <c r="O26" t="s">
        <v>28</v>
      </c>
      <c r="Q26">
        <f t="shared" si="0"/>
        <v>-3.2254771316169606</v>
      </c>
      <c r="R26">
        <f t="shared" si="1"/>
        <v>-1.9643925543384382</v>
      </c>
    </row>
    <row r="27" spans="1:18">
      <c r="A27" t="s">
        <v>44</v>
      </c>
      <c r="B27">
        <v>63512.1</v>
      </c>
      <c r="C27">
        <v>3551.8433333333328</v>
      </c>
      <c r="D27">
        <v>17.88144747375307</v>
      </c>
      <c r="E27">
        <v>-0.17556244372481719</v>
      </c>
      <c r="F27">
        <v>5.5667102158129561E-2</v>
      </c>
      <c r="G27">
        <v>-9.7730524899602728E-3</v>
      </c>
      <c r="H27" t="s">
        <v>28</v>
      </c>
      <c r="I27">
        <v>788412.4</v>
      </c>
      <c r="J27">
        <v>20799.737499999999</v>
      </c>
      <c r="K27">
        <v>37.904920675080639</v>
      </c>
      <c r="L27">
        <v>-0.29595719752435051</v>
      </c>
      <c r="M27">
        <v>-0.24144597630031969</v>
      </c>
      <c r="N27">
        <v>7.1457674499373375E-2</v>
      </c>
      <c r="O27" t="s">
        <v>16</v>
      </c>
      <c r="Q27">
        <f t="shared" si="0"/>
        <v>-0.38875490019034731</v>
      </c>
      <c r="R27">
        <f t="shared" si="1"/>
        <v>-0.25841194630525899</v>
      </c>
    </row>
    <row r="28" spans="1:18">
      <c r="A28" t="s">
        <v>45</v>
      </c>
      <c r="B28">
        <v>99230</v>
      </c>
      <c r="C28">
        <v>3819.6116666666671</v>
      </c>
      <c r="D28">
        <v>25.979080770427359</v>
      </c>
      <c r="E28">
        <v>0.53881358460713313</v>
      </c>
      <c r="F28">
        <v>0.33768536436714541</v>
      </c>
      <c r="G28">
        <v>0.18194946164402739</v>
      </c>
      <c r="H28" t="s">
        <v>18</v>
      </c>
      <c r="I28">
        <v>1174111</v>
      </c>
      <c r="J28">
        <v>22325.7425</v>
      </c>
      <c r="K28">
        <v>52.590009044492042</v>
      </c>
      <c r="L28">
        <v>0.2107665370978416</v>
      </c>
      <c r="M28">
        <v>9.7474020409213435E-2</v>
      </c>
      <c r="N28">
        <v>2.054426173865425E-2</v>
      </c>
      <c r="O28" t="s">
        <v>18</v>
      </c>
      <c r="Q28">
        <f t="shared" si="0"/>
        <v>-5.1885363006916242E-2</v>
      </c>
      <c r="R28">
        <f t="shared" si="1"/>
        <v>-0.33993896498426424</v>
      </c>
    </row>
    <row r="29" spans="1:18">
      <c r="A29" t="s">
        <v>46</v>
      </c>
      <c r="B29">
        <v>117959.2</v>
      </c>
      <c r="C29">
        <v>3198.503333333334</v>
      </c>
      <c r="D29">
        <v>36.879498848940813</v>
      </c>
      <c r="E29">
        <v>1.500452262081496</v>
      </c>
      <c r="F29">
        <v>-0.31124202777921323</v>
      </c>
      <c r="G29">
        <v>-0.46700380463615232</v>
      </c>
      <c r="H29" t="s">
        <v>21</v>
      </c>
      <c r="I29">
        <v>939205.1</v>
      </c>
      <c r="J29">
        <v>19570.39666666666</v>
      </c>
      <c r="K29">
        <v>47.99111208612873</v>
      </c>
      <c r="L29">
        <v>5.2076975056213982E-2</v>
      </c>
      <c r="M29">
        <v>-0.38041427295790092</v>
      </c>
      <c r="N29">
        <v>-1.9810824603856379E-2</v>
      </c>
      <c r="O29" t="s">
        <v>21</v>
      </c>
      <c r="Q29">
        <f t="shared" si="0"/>
        <v>-1.1921405252811805</v>
      </c>
      <c r="R29">
        <f t="shared" si="1"/>
        <v>-0.40455906604684844</v>
      </c>
    </row>
    <row r="30" spans="1:18">
      <c r="A30" t="s">
        <v>47</v>
      </c>
      <c r="B30">
        <v>139840.29999999999</v>
      </c>
      <c r="C30">
        <v>5409.9458333333341</v>
      </c>
      <c r="D30">
        <v>25.848743094316252</v>
      </c>
      <c r="E30">
        <v>0.5273151494482442</v>
      </c>
      <c r="F30">
        <v>0.27554989243064337</v>
      </c>
      <c r="G30">
        <v>0.14530163270751231</v>
      </c>
      <c r="H30" t="s">
        <v>18</v>
      </c>
      <c r="I30">
        <v>3936319.7</v>
      </c>
      <c r="J30">
        <v>30728.86</v>
      </c>
      <c r="K30">
        <v>128.09846183685301</v>
      </c>
      <c r="L30">
        <v>2.8162615965751212</v>
      </c>
      <c r="M30">
        <v>1.0713202010486911</v>
      </c>
      <c r="N30">
        <v>3.0171179398485659</v>
      </c>
      <c r="O30" t="s">
        <v>18</v>
      </c>
      <c r="Q30">
        <f t="shared" si="0"/>
        <v>-0.11627809866650371</v>
      </c>
      <c r="R30">
        <f t="shared" si="1"/>
        <v>4.458437434893737</v>
      </c>
    </row>
    <row r="31" spans="1:18">
      <c r="A31" t="s">
        <v>48</v>
      </c>
      <c r="B31">
        <v>79833.2</v>
      </c>
      <c r="C31">
        <v>4053.8716666666669</v>
      </c>
      <c r="D31">
        <v>19.69307530291001</v>
      </c>
      <c r="E31">
        <v>-1.5740005983619888E-2</v>
      </c>
      <c r="F31">
        <v>8.5948309941563605E-2</v>
      </c>
      <c r="G31">
        <v>-1.3528269127622279E-3</v>
      </c>
      <c r="H31" t="s">
        <v>28</v>
      </c>
      <c r="I31">
        <v>1249020</v>
      </c>
      <c r="J31">
        <v>25247.606666666659</v>
      </c>
      <c r="K31">
        <v>49.470827729941938</v>
      </c>
      <c r="L31">
        <v>0.1031360506538614</v>
      </c>
      <c r="M31">
        <v>-8.6156125194080224E-2</v>
      </c>
      <c r="N31">
        <v>-8.8858024921570859E-3</v>
      </c>
      <c r="O31" t="s">
        <v>21</v>
      </c>
      <c r="Q31">
        <f t="shared" si="0"/>
        <v>-0.37395998939970093</v>
      </c>
      <c r="R31">
        <f t="shared" si="1"/>
        <v>-0.38706496314797073</v>
      </c>
    </row>
    <row r="32" spans="1:18">
      <c r="A32" t="s">
        <v>49</v>
      </c>
      <c r="B32">
        <v>144469.29999999999</v>
      </c>
      <c r="C32">
        <v>5418.5508333333337</v>
      </c>
      <c r="D32">
        <v>26.661981117029899</v>
      </c>
      <c r="E32">
        <v>0.59905929091156651</v>
      </c>
      <c r="F32">
        <v>-1.9906354538338639E-2</v>
      </c>
      <c r="G32">
        <v>-1.192508663437139E-2</v>
      </c>
      <c r="H32" t="s">
        <v>21</v>
      </c>
      <c r="I32">
        <v>1714105.5</v>
      </c>
      <c r="J32">
        <v>26000.706666666669</v>
      </c>
      <c r="K32">
        <v>65.925342798375226</v>
      </c>
      <c r="L32">
        <v>0.67091563203120164</v>
      </c>
      <c r="M32">
        <v>-0.26717264631981819</v>
      </c>
      <c r="N32">
        <v>-0.17925030486710961</v>
      </c>
      <c r="O32" t="s">
        <v>21</v>
      </c>
      <c r="Q32">
        <f t="shared" si="0"/>
        <v>-0.39253617099990951</v>
      </c>
      <c r="R32">
        <f t="shared" si="1"/>
        <v>-0.6598675354807001</v>
      </c>
    </row>
    <row r="33" spans="1:18">
      <c r="A33" t="s">
        <v>50</v>
      </c>
      <c r="B33">
        <v>69629.5</v>
      </c>
      <c r="C33">
        <v>3734.460833333334</v>
      </c>
      <c r="D33">
        <v>18.645127933461161</v>
      </c>
      <c r="E33">
        <v>-0.1081902877215256</v>
      </c>
      <c r="F33">
        <v>-0.52405802915072841</v>
      </c>
      <c r="G33">
        <v>5.6697988956592928E-2</v>
      </c>
      <c r="H33" t="s">
        <v>16</v>
      </c>
      <c r="I33">
        <v>1009913.6</v>
      </c>
      <c r="J33">
        <v>21552.91916666667</v>
      </c>
      <c r="K33">
        <v>46.857392828805892</v>
      </c>
      <c r="L33">
        <v>1.2956852546065781E-2</v>
      </c>
      <c r="M33">
        <v>-0.52309138813653533</v>
      </c>
      <c r="N33">
        <v>-6.7776179842019514E-3</v>
      </c>
      <c r="O33" t="s">
        <v>21</v>
      </c>
      <c r="Q33">
        <f t="shared" si="0"/>
        <v>-0.27196074552705063</v>
      </c>
      <c r="R33">
        <f t="shared" si="1"/>
        <v>-0.38368915334777887</v>
      </c>
    </row>
    <row r="34" spans="1:18">
      <c r="A34" t="s">
        <v>51</v>
      </c>
      <c r="B34">
        <v>72549.3</v>
      </c>
      <c r="C34">
        <v>3628.5541666666668</v>
      </c>
      <c r="D34">
        <v>19.993996690601051</v>
      </c>
      <c r="E34">
        <v>1.0807383593425261E-2</v>
      </c>
      <c r="F34">
        <v>0.31472418676358221</v>
      </c>
      <c r="G34">
        <v>3.4013450124828451E-3</v>
      </c>
      <c r="H34" t="s">
        <v>18</v>
      </c>
      <c r="I34">
        <v>842000.4</v>
      </c>
      <c r="J34">
        <v>20202.614166666659</v>
      </c>
      <c r="K34">
        <v>41.6777944207468</v>
      </c>
      <c r="L34">
        <v>-0.1657703966982684</v>
      </c>
      <c r="M34">
        <v>-0.21311144482407141</v>
      </c>
      <c r="N34">
        <v>3.5327568749427461E-2</v>
      </c>
      <c r="O34" t="s">
        <v>16</v>
      </c>
      <c r="Q34">
        <f t="shared" si="0"/>
        <v>-0.36560658498404364</v>
      </c>
      <c r="R34">
        <f t="shared" si="1"/>
        <v>-0.31626663815618233</v>
      </c>
    </row>
    <row r="35" spans="1:18">
      <c r="A35" t="s">
        <v>52</v>
      </c>
      <c r="B35">
        <v>71843.399999999994</v>
      </c>
      <c r="C35">
        <v>3739.9491666666672</v>
      </c>
      <c r="D35">
        <v>19.209726335406959</v>
      </c>
      <c r="E35">
        <v>-5.8381220157271242E-2</v>
      </c>
      <c r="F35">
        <v>0.37826236245256789</v>
      </c>
      <c r="G35">
        <v>-2.20834182595529E-2</v>
      </c>
      <c r="H35" t="s">
        <v>28</v>
      </c>
      <c r="I35">
        <v>966864.7</v>
      </c>
      <c r="J35">
        <v>22200.154999999999</v>
      </c>
      <c r="K35">
        <v>43.552159883568379</v>
      </c>
      <c r="L35">
        <v>-0.10109353242102111</v>
      </c>
      <c r="M35">
        <v>-0.30011252680745309</v>
      </c>
      <c r="N35">
        <v>3.033943545876383E-2</v>
      </c>
      <c r="O35" t="s">
        <v>16</v>
      </c>
      <c r="Q35">
        <f t="shared" si="0"/>
        <v>-0.41038505269535386</v>
      </c>
      <c r="R35">
        <f t="shared" si="1"/>
        <v>-0.32425407435246612</v>
      </c>
    </row>
    <row r="36" spans="1:18">
      <c r="A36" t="s">
        <v>53</v>
      </c>
      <c r="B36">
        <v>94389.6</v>
      </c>
      <c r="C36">
        <v>3241.8083333333338</v>
      </c>
      <c r="D36">
        <v>29.116341959348819</v>
      </c>
      <c r="E36">
        <v>0.8155838588182589</v>
      </c>
      <c r="F36">
        <v>2.501133379787289</v>
      </c>
      <c r="G36">
        <v>2.0398840133060721</v>
      </c>
      <c r="H36" t="s">
        <v>18</v>
      </c>
      <c r="I36">
        <v>779598.9</v>
      </c>
      <c r="J36">
        <v>19716.52416666667</v>
      </c>
      <c r="K36">
        <v>39.540382138856543</v>
      </c>
      <c r="L36">
        <v>-0.23952395586395861</v>
      </c>
      <c r="M36">
        <v>1.7826823374824601</v>
      </c>
      <c r="N36">
        <v>-0.42699512552260721</v>
      </c>
      <c r="O36" t="s">
        <v>28</v>
      </c>
      <c r="Q36">
        <f t="shared" si="0"/>
        <v>3.2126323977923885</v>
      </c>
      <c r="R36">
        <f t="shared" si="1"/>
        <v>-1.0565782552301861</v>
      </c>
    </row>
    <row r="37" spans="1:18">
      <c r="A37" t="s">
        <v>54</v>
      </c>
      <c r="B37">
        <v>79522.8</v>
      </c>
      <c r="C37">
        <v>3322.3833333333332</v>
      </c>
      <c r="D37">
        <v>23.935468012420799</v>
      </c>
      <c r="E37">
        <v>0.35852535568562699</v>
      </c>
      <c r="F37">
        <v>0.50452639508947539</v>
      </c>
      <c r="G37">
        <v>0.18088550525224131</v>
      </c>
      <c r="H37" t="s">
        <v>18</v>
      </c>
      <c r="I37">
        <v>1134335.7</v>
      </c>
      <c r="J37">
        <v>19757.522499999999</v>
      </c>
      <c r="K37">
        <v>57.412851231727053</v>
      </c>
      <c r="L37">
        <v>0.37718355435595019</v>
      </c>
      <c r="M37">
        <v>0.123421363168388</v>
      </c>
      <c r="N37">
        <v>4.655250844330916E-2</v>
      </c>
      <c r="O37" t="s">
        <v>18</v>
      </c>
      <c r="Q37">
        <f t="shared" si="0"/>
        <v>-5.37548069733867E-2</v>
      </c>
      <c r="R37">
        <f t="shared" si="1"/>
        <v>-0.29829228093925958</v>
      </c>
    </row>
    <row r="38" spans="1:18">
      <c r="A38" t="s">
        <v>55</v>
      </c>
      <c r="B38">
        <v>54740.1</v>
      </c>
      <c r="C38">
        <v>3190.0066666666671</v>
      </c>
      <c r="D38">
        <v>17.159870094315369</v>
      </c>
      <c r="E38">
        <v>-0.23922025132998301</v>
      </c>
      <c r="F38">
        <v>-2.7011451108083451E-2</v>
      </c>
      <c r="G38">
        <v>6.4616861228632711E-3</v>
      </c>
      <c r="H38" t="s">
        <v>16</v>
      </c>
      <c r="I38">
        <v>639832.9</v>
      </c>
      <c r="J38">
        <v>19754.862499999999</v>
      </c>
      <c r="K38">
        <v>32.388628369344509</v>
      </c>
      <c r="L38">
        <v>-0.48630240812946118</v>
      </c>
      <c r="M38">
        <v>-0.25312630679723591</v>
      </c>
      <c r="N38">
        <v>0.1230959325564126</v>
      </c>
      <c r="O38" t="s">
        <v>16</v>
      </c>
      <c r="Q38">
        <f t="shared" si="0"/>
        <v>-0.36022935686801338</v>
      </c>
      <c r="R38">
        <f t="shared" si="1"/>
        <v>-0.17572424181070634</v>
      </c>
    </row>
    <row r="39" spans="1:18">
      <c r="A39" t="s">
        <v>56</v>
      </c>
      <c r="B39">
        <v>41595.800000000003</v>
      </c>
      <c r="C39">
        <v>3296.525833333334</v>
      </c>
      <c r="D39">
        <v>12.618071904487319</v>
      </c>
      <c r="E39">
        <v>-0.63989926870005154</v>
      </c>
      <c r="F39">
        <v>-0.39815014719412051</v>
      </c>
      <c r="G39">
        <v>0.25477598802233548</v>
      </c>
      <c r="H39" t="s">
        <v>16</v>
      </c>
      <c r="I39">
        <v>652089.9</v>
      </c>
      <c r="J39">
        <v>19462.831666666669</v>
      </c>
      <c r="K39">
        <v>33.504369311111716</v>
      </c>
      <c r="L39">
        <v>-0.44780264546811999</v>
      </c>
      <c r="M39">
        <v>-0.4769340844215102</v>
      </c>
      <c r="N39">
        <v>0.2135723447178679</v>
      </c>
      <c r="O39" t="s">
        <v>16</v>
      </c>
      <c r="Q39">
        <f t="shared" si="0"/>
        <v>7.6075812270559831E-2</v>
      </c>
      <c r="R39">
        <f t="shared" si="1"/>
        <v>-3.0845481100575632E-2</v>
      </c>
    </row>
    <row r="40" spans="1:18">
      <c r="A40" t="s">
        <v>57</v>
      </c>
      <c r="B40">
        <v>96240.2</v>
      </c>
      <c r="C40">
        <v>3962.1624999999999</v>
      </c>
      <c r="D40">
        <v>24.28981648279191</v>
      </c>
      <c r="E40">
        <v>0.38978610109542189</v>
      </c>
      <c r="F40">
        <v>0.15438272200976</v>
      </c>
      <c r="G40">
        <v>6.0176239288682723E-2</v>
      </c>
      <c r="H40" t="s">
        <v>18</v>
      </c>
      <c r="I40">
        <v>1046002.4</v>
      </c>
      <c r="J40">
        <v>22242.721666666661</v>
      </c>
      <c r="K40">
        <v>47.026727019992236</v>
      </c>
      <c r="L40">
        <v>1.879989901597353E-2</v>
      </c>
      <c r="M40">
        <v>2.3002091779200741E-2</v>
      </c>
      <c r="N40">
        <v>4.3243700260512882E-4</v>
      </c>
      <c r="O40" t="s">
        <v>18</v>
      </c>
      <c r="Q40">
        <f t="shared" si="0"/>
        <v>-0.26584922239753261</v>
      </c>
      <c r="R40">
        <f t="shared" si="1"/>
        <v>-0.37214378139739202</v>
      </c>
    </row>
    <row r="41" spans="1:18">
      <c r="A41" t="s">
        <v>58</v>
      </c>
      <c r="B41">
        <v>74713.100000000006</v>
      </c>
      <c r="C41">
        <v>4795.724166666666</v>
      </c>
      <c r="D41">
        <v>15.579107013556699</v>
      </c>
      <c r="E41">
        <v>-0.37867572060023869</v>
      </c>
      <c r="F41">
        <v>-0.1187530757593101</v>
      </c>
      <c r="G41">
        <v>4.4968906536651497E-2</v>
      </c>
      <c r="H41" t="s">
        <v>16</v>
      </c>
      <c r="I41">
        <v>1184384.3999999999</v>
      </c>
      <c r="J41">
        <v>26138.90083333333</v>
      </c>
      <c r="K41">
        <v>45.31117844441367</v>
      </c>
      <c r="L41">
        <v>-4.0396828935197547E-2</v>
      </c>
      <c r="M41">
        <v>2.2082870490442091E-2</v>
      </c>
      <c r="N41">
        <v>-8.9207794160051123E-4</v>
      </c>
      <c r="O41" t="s">
        <v>28</v>
      </c>
      <c r="Q41">
        <f t="shared" si="0"/>
        <v>-0.29256954352993236</v>
      </c>
      <c r="R41">
        <f t="shared" si="1"/>
        <v>-0.37426471080953672</v>
      </c>
    </row>
    <row r="42" spans="1:18">
      <c r="A42" t="s">
        <v>59</v>
      </c>
      <c r="B42">
        <v>48358.5</v>
      </c>
      <c r="C42">
        <v>3282.9883333333328</v>
      </c>
      <c r="D42">
        <v>14.73002493155372</v>
      </c>
      <c r="E42">
        <v>-0.45358203745188302</v>
      </c>
      <c r="F42">
        <v>-5.3615004717244313E-2</v>
      </c>
      <c r="G42">
        <v>2.4318803077639999E-2</v>
      </c>
      <c r="H42" t="s">
        <v>16</v>
      </c>
      <c r="I42">
        <v>607584.9</v>
      </c>
      <c r="J42">
        <v>20898.164166666669</v>
      </c>
      <c r="K42">
        <v>29.073601640526881</v>
      </c>
      <c r="L42">
        <v>-0.60069073744301416</v>
      </c>
      <c r="M42">
        <v>-0.2062096106820186</v>
      </c>
      <c r="N42">
        <v>0.1238682031084186</v>
      </c>
      <c r="O42" t="s">
        <v>16</v>
      </c>
      <c r="Q42">
        <f t="shared" si="0"/>
        <v>-0.32885318411564685</v>
      </c>
      <c r="R42">
        <f t="shared" si="1"/>
        <v>-0.17448761451929809</v>
      </c>
    </row>
    <row r="43" spans="1:18">
      <c r="A43" t="s">
        <v>60</v>
      </c>
      <c r="B43">
        <v>28133.200000000001</v>
      </c>
      <c r="C43">
        <v>3537.0650000000001</v>
      </c>
      <c r="D43">
        <v>7.9538261242018464</v>
      </c>
      <c r="E43">
        <v>-1.0513806551259921</v>
      </c>
      <c r="F43">
        <v>-0.27834026104187681</v>
      </c>
      <c r="G43">
        <v>0.29264156600214808</v>
      </c>
      <c r="H43" t="s">
        <v>16</v>
      </c>
      <c r="I43">
        <v>567832.30000000005</v>
      </c>
      <c r="J43">
        <v>19757.012500000001</v>
      </c>
      <c r="K43">
        <v>28.740797729413799</v>
      </c>
      <c r="L43">
        <v>-0.6121744709074558</v>
      </c>
      <c r="M43">
        <v>-0.2339008493363568</v>
      </c>
      <c r="N43">
        <v>0.14318812868728881</v>
      </c>
      <c r="O43" t="s">
        <v>16</v>
      </c>
      <c r="Q43">
        <f t="shared" si="0"/>
        <v>0.1426082160774913</v>
      </c>
      <c r="R43">
        <f t="shared" si="1"/>
        <v>-0.14355085644047677</v>
      </c>
    </row>
    <row r="44" spans="1:18">
      <c r="A44" t="s">
        <v>61</v>
      </c>
      <c r="B44">
        <v>42067.6</v>
      </c>
      <c r="C44">
        <v>3727.545833333334</v>
      </c>
      <c r="D44">
        <v>11.285602345600489</v>
      </c>
      <c r="E44">
        <v>-0.75745019703632777</v>
      </c>
      <c r="F44">
        <v>-0.37407158691309211</v>
      </c>
      <c r="G44">
        <v>0.28334059721301341</v>
      </c>
      <c r="H44" t="s">
        <v>16</v>
      </c>
      <c r="I44">
        <v>623315.6</v>
      </c>
      <c r="J44">
        <v>23331.941666666669</v>
      </c>
      <c r="K44">
        <v>26.71511908031658</v>
      </c>
      <c r="L44">
        <v>-0.68207254876669887</v>
      </c>
      <c r="M44">
        <v>-0.59234228279884693</v>
      </c>
      <c r="N44">
        <v>0.40402041057089427</v>
      </c>
      <c r="O44" t="s">
        <v>16</v>
      </c>
      <c r="Q44">
        <f t="shared" si="0"/>
        <v>0.12626577937668917</v>
      </c>
      <c r="R44">
        <f t="shared" si="1"/>
        <v>0.27411665324213097</v>
      </c>
    </row>
    <row r="45" spans="1:18">
      <c r="A45" t="s">
        <v>62</v>
      </c>
      <c r="B45">
        <v>76042.5</v>
      </c>
      <c r="C45">
        <v>3182.4733333333329</v>
      </c>
      <c r="D45">
        <v>23.894151508994049</v>
      </c>
      <c r="E45">
        <v>0.35488039937046678</v>
      </c>
      <c r="F45">
        <v>0.36210420575455982</v>
      </c>
      <c r="G45">
        <v>0.12850368515190391</v>
      </c>
      <c r="H45" t="s">
        <v>18</v>
      </c>
      <c r="I45">
        <v>739698.6</v>
      </c>
      <c r="J45">
        <v>20485.43583333334</v>
      </c>
      <c r="K45">
        <v>36.108511725993303</v>
      </c>
      <c r="L45">
        <v>-0.35794409393869953</v>
      </c>
      <c r="M45">
        <v>0.21438090827366679</v>
      </c>
      <c r="N45">
        <v>-7.6736379969773102E-2</v>
      </c>
      <c r="O45" t="s">
        <v>28</v>
      </c>
      <c r="Q45">
        <f t="shared" si="0"/>
        <v>-0.14579323852501133</v>
      </c>
      <c r="R45">
        <f t="shared" si="1"/>
        <v>-0.49571325438305935</v>
      </c>
    </row>
    <row r="46" spans="1:18">
      <c r="A46" t="s">
        <v>63</v>
      </c>
      <c r="B46">
        <v>65707.199999999997</v>
      </c>
      <c r="C46">
        <v>4158.7749999999996</v>
      </c>
      <c r="D46">
        <v>15.799652541914391</v>
      </c>
      <c r="E46">
        <v>-0.359219117313542</v>
      </c>
      <c r="F46">
        <v>-0.47970656214253221</v>
      </c>
      <c r="G46">
        <v>0.1723197678223542</v>
      </c>
      <c r="H46" t="s">
        <v>16</v>
      </c>
      <c r="I46">
        <v>594962.1</v>
      </c>
      <c r="J46">
        <v>22267.119166666671</v>
      </c>
      <c r="K46">
        <v>26.719311804404569</v>
      </c>
      <c r="L46">
        <v>-0.68192787460780624</v>
      </c>
      <c r="M46">
        <v>-0.19253862252439749</v>
      </c>
      <c r="N46">
        <v>0.13129745363797701</v>
      </c>
      <c r="O46" t="s">
        <v>16</v>
      </c>
      <c r="Q46">
        <f t="shared" si="0"/>
        <v>-6.8805392016436318E-2</v>
      </c>
      <c r="R46">
        <f t="shared" si="1"/>
        <v>-0.16259124745506512</v>
      </c>
    </row>
    <row r="47" spans="1:18">
      <c r="A47" t="s">
        <v>64</v>
      </c>
      <c r="B47">
        <v>30629.599999999999</v>
      </c>
      <c r="C47">
        <v>3202.916666666667</v>
      </c>
      <c r="D47">
        <v>9.5630336932483413</v>
      </c>
      <c r="E47">
        <v>-0.90941580319706128</v>
      </c>
      <c r="F47">
        <v>-0.86190358867910954</v>
      </c>
      <c r="G47">
        <v>0.78382874437704197</v>
      </c>
      <c r="H47" t="s">
        <v>16</v>
      </c>
      <c r="I47">
        <v>348978.2</v>
      </c>
      <c r="J47">
        <v>20095.300833333331</v>
      </c>
      <c r="K47">
        <v>17.36615952626736</v>
      </c>
      <c r="L47">
        <v>-1.0046677951070191</v>
      </c>
      <c r="M47">
        <v>-0.47916635626559001</v>
      </c>
      <c r="N47">
        <v>0.48140300663881469</v>
      </c>
      <c r="O47" t="s">
        <v>16</v>
      </c>
      <c r="Q47">
        <f t="shared" si="0"/>
        <v>1.0056575986552097</v>
      </c>
      <c r="R47">
        <f t="shared" si="1"/>
        <v>0.39802844805166349</v>
      </c>
    </row>
    <row r="48" spans="1:18">
      <c r="A48" t="s">
        <v>65</v>
      </c>
      <c r="B48">
        <v>14024.9</v>
      </c>
      <c r="C48">
        <v>3460.4533333333329</v>
      </c>
      <c r="D48">
        <v>4.0529082894726702</v>
      </c>
      <c r="E48">
        <v>-1.395520984469828</v>
      </c>
      <c r="F48">
        <v>-0.81886385103232529</v>
      </c>
      <c r="G48">
        <v>1.142741687539385</v>
      </c>
      <c r="H48" t="s">
        <v>16</v>
      </c>
      <c r="I48">
        <v>204565.5</v>
      </c>
      <c r="J48">
        <v>19986.654999999999</v>
      </c>
      <c r="K48">
        <v>10.235104373393151</v>
      </c>
      <c r="L48">
        <v>-1.250732020800615</v>
      </c>
      <c r="M48">
        <v>-0.77253500162959332</v>
      </c>
      <c r="N48">
        <v>0.96623426372738785</v>
      </c>
      <c r="O48" t="s">
        <v>16</v>
      </c>
      <c r="Q48">
        <f t="shared" si="0"/>
        <v>1.6362921258435208</v>
      </c>
      <c r="R48">
        <f t="shared" si="1"/>
        <v>1.1743827486088159</v>
      </c>
    </row>
    <row r="49" spans="1:18">
      <c r="A49" t="s">
        <v>66</v>
      </c>
      <c r="B49">
        <v>29105.7</v>
      </c>
      <c r="C49">
        <v>3403.8808333333332</v>
      </c>
      <c r="D49">
        <v>8.5507400009352086</v>
      </c>
      <c r="E49">
        <v>-0.99872070512651068</v>
      </c>
      <c r="F49">
        <v>-0.52481596644786965</v>
      </c>
      <c r="G49">
        <v>0.52414457207246756</v>
      </c>
      <c r="H49" t="s">
        <v>16</v>
      </c>
      <c r="I49">
        <v>813186.7</v>
      </c>
      <c r="J49">
        <v>20172.64</v>
      </c>
      <c r="K49">
        <v>40.311367277659237</v>
      </c>
      <c r="L49">
        <v>-0.21292033870860799</v>
      </c>
      <c r="M49">
        <v>-0.52798232770278553</v>
      </c>
      <c r="N49">
        <v>0.1124181760466363</v>
      </c>
      <c r="O49" t="s">
        <v>16</v>
      </c>
      <c r="Q49">
        <f t="shared" si="0"/>
        <v>0.54937479153028279</v>
      </c>
      <c r="R49">
        <f t="shared" si="1"/>
        <v>-0.19282240135686887</v>
      </c>
    </row>
    <row r="50" spans="1:18">
      <c r="A50" t="s">
        <v>67</v>
      </c>
      <c r="B50">
        <v>77509.7</v>
      </c>
      <c r="C50">
        <v>3945.3474999999999</v>
      </c>
      <c r="D50">
        <v>19.645848686332439</v>
      </c>
      <c r="E50">
        <v>-1.9906354538338639E-2</v>
      </c>
      <c r="F50">
        <v>0.80160796735193296</v>
      </c>
      <c r="G50">
        <v>-1.5957092398864559E-2</v>
      </c>
      <c r="H50" t="s">
        <v>28</v>
      </c>
      <c r="I50">
        <v>919389.3</v>
      </c>
      <c r="J50">
        <v>23732.845000000001</v>
      </c>
      <c r="K50">
        <v>38.739110292086771</v>
      </c>
      <c r="L50">
        <v>-0.26717264631981819</v>
      </c>
      <c r="M50">
        <v>0.31935247940479339</v>
      </c>
      <c r="N50">
        <v>-8.5322247031373921E-2</v>
      </c>
      <c r="O50" t="s">
        <v>28</v>
      </c>
      <c r="Q50">
        <f t="shared" si="0"/>
        <v>-0.3996206802029158</v>
      </c>
      <c r="R50">
        <f t="shared" si="1"/>
        <v>-0.50946169720688506</v>
      </c>
    </row>
    <row r="51" spans="1:18">
      <c r="A51" t="s">
        <v>68</v>
      </c>
      <c r="B51">
        <v>132733.1</v>
      </c>
      <c r="C51">
        <v>4557.8608333333332</v>
      </c>
      <c r="D51">
        <v>29.121797451399441</v>
      </c>
      <c r="E51">
        <v>0.81606514422609844</v>
      </c>
      <c r="F51">
        <v>1.471498397378828</v>
      </c>
      <c r="G51">
        <v>1.2008385518854261</v>
      </c>
      <c r="H51" t="s">
        <v>18</v>
      </c>
      <c r="I51">
        <v>1671787.7</v>
      </c>
      <c r="J51">
        <v>24073.643333333341</v>
      </c>
      <c r="K51">
        <v>69.444731603428522</v>
      </c>
      <c r="L51">
        <v>0.79235568019589786</v>
      </c>
      <c r="M51">
        <v>1.0824572129461409</v>
      </c>
      <c r="N51">
        <v>0.85769112124689517</v>
      </c>
      <c r="O51" t="s">
        <v>18</v>
      </c>
      <c r="Q51">
        <f t="shared" si="0"/>
        <v>1.7383722800312651</v>
      </c>
      <c r="R51">
        <f t="shared" si="1"/>
        <v>1.0005739559027724</v>
      </c>
    </row>
    <row r="52" spans="1:18">
      <c r="A52" t="s">
        <v>69</v>
      </c>
      <c r="B52">
        <v>41757.599999999999</v>
      </c>
      <c r="C52">
        <v>3193.1991666666672</v>
      </c>
      <c r="D52">
        <v>13.077042119984689</v>
      </c>
      <c r="E52">
        <v>-0.59940875651492653</v>
      </c>
      <c r="F52">
        <v>-3.2555687836965698E-2</v>
      </c>
      <c r="G52">
        <v>1.951416436384373E-2</v>
      </c>
      <c r="H52" t="s">
        <v>16</v>
      </c>
      <c r="I52">
        <v>530998.4</v>
      </c>
      <c r="J52">
        <v>19975.139166666671</v>
      </c>
      <c r="K52">
        <v>26.582963731541799</v>
      </c>
      <c r="L52">
        <v>-0.68663270190959336</v>
      </c>
      <c r="M52">
        <v>-6.6862406170555763E-2</v>
      </c>
      <c r="N52">
        <v>4.5909914605065369E-2</v>
      </c>
      <c r="O52" t="s">
        <v>16</v>
      </c>
      <c r="Q52">
        <f t="shared" si="0"/>
        <v>-0.33729526212177507</v>
      </c>
      <c r="R52">
        <f t="shared" si="1"/>
        <v>-0.2993212585114316</v>
      </c>
    </row>
    <row r="53" spans="1:18">
      <c r="A53" t="s">
        <v>70</v>
      </c>
      <c r="B53">
        <v>43807.6</v>
      </c>
      <c r="C53">
        <v>3362.3450000000012</v>
      </c>
      <c r="D53">
        <v>13.028883115801619</v>
      </c>
      <c r="E53">
        <v>-0.60365736062877939</v>
      </c>
      <c r="F53">
        <v>-0.38862014690977598</v>
      </c>
      <c r="G53">
        <v>0.23459341217072391</v>
      </c>
      <c r="H53" t="s">
        <v>16</v>
      </c>
      <c r="I53">
        <v>625378.5</v>
      </c>
      <c r="J53">
        <v>19302.468333333331</v>
      </c>
      <c r="K53">
        <v>32.398887499793851</v>
      </c>
      <c r="L53">
        <v>-0.48594840652153798</v>
      </c>
      <c r="M53">
        <v>-0.36333112493621122</v>
      </c>
      <c r="N53">
        <v>0.17656018120242969</v>
      </c>
      <c r="O53" t="s">
        <v>16</v>
      </c>
      <c r="Q53">
        <f t="shared" si="0"/>
        <v>4.0613649587097483E-2</v>
      </c>
      <c r="R53">
        <f t="shared" si="1"/>
        <v>-9.0112601151140989E-2</v>
      </c>
    </row>
    <row r="54" spans="1:18">
      <c r="A54" t="s">
        <v>71</v>
      </c>
      <c r="B54">
        <v>161309</v>
      </c>
      <c r="C54">
        <v>5657.3233333333337</v>
      </c>
      <c r="D54">
        <v>28.513307530003878</v>
      </c>
      <c r="E54">
        <v>0.76238395153673433</v>
      </c>
      <c r="F54">
        <v>0.1749255863218685</v>
      </c>
      <c r="G54">
        <v>0.1333604597249462</v>
      </c>
      <c r="H54" t="s">
        <v>18</v>
      </c>
      <c r="I54">
        <v>2520579</v>
      </c>
      <c r="J54">
        <v>28622.53666666667</v>
      </c>
      <c r="K54">
        <v>88.062739838688884</v>
      </c>
      <c r="L54">
        <v>1.4347887678883759</v>
      </c>
      <c r="M54">
        <v>0.99560005173884936</v>
      </c>
      <c r="N54">
        <v>1.4284757715439871</v>
      </c>
      <c r="O54" t="s">
        <v>18</v>
      </c>
      <c r="Q54">
        <f t="shared" si="0"/>
        <v>-0.13725955425733266</v>
      </c>
      <c r="R54">
        <f t="shared" si="1"/>
        <v>1.914564362815012</v>
      </c>
    </row>
    <row r="55" spans="1:18">
      <c r="A55" t="s">
        <v>72</v>
      </c>
      <c r="B55">
        <v>34323.599999999999</v>
      </c>
      <c r="C55">
        <v>3241.2975000000001</v>
      </c>
      <c r="D55">
        <v>10.589463015968141</v>
      </c>
      <c r="E55">
        <v>-0.81886385103232529</v>
      </c>
      <c r="F55">
        <v>-0.98839958657410909</v>
      </c>
      <c r="G55">
        <v>0.80936469182083315</v>
      </c>
      <c r="H55" t="s">
        <v>16</v>
      </c>
      <c r="I55">
        <v>473305.3</v>
      </c>
      <c r="J55">
        <v>19644.5425</v>
      </c>
      <c r="K55">
        <v>24.09347532527164</v>
      </c>
      <c r="L55">
        <v>-0.77253500162959332</v>
      </c>
      <c r="M55">
        <v>-0.99299176299718295</v>
      </c>
      <c r="N55">
        <v>0.7671208932452015</v>
      </c>
      <c r="O55" t="s">
        <v>16</v>
      </c>
      <c r="Q55">
        <f t="shared" si="0"/>
        <v>1.0505260004482226</v>
      </c>
      <c r="R55">
        <f t="shared" si="1"/>
        <v>0.85554496904701982</v>
      </c>
    </row>
    <row r="56" spans="1:18">
      <c r="A56" t="s">
        <v>73</v>
      </c>
      <c r="B56">
        <v>103726.8</v>
      </c>
      <c r="C56">
        <v>3314.6933333333332</v>
      </c>
      <c r="D56">
        <v>31.29303062726769</v>
      </c>
      <c r="E56">
        <v>1.0076120908378139</v>
      </c>
      <c r="F56">
        <v>-0.13061049337351741</v>
      </c>
      <c r="G56">
        <v>-0.13160471231344831</v>
      </c>
      <c r="H56" t="s">
        <v>21</v>
      </c>
      <c r="I56">
        <v>1361838.5</v>
      </c>
      <c r="J56">
        <v>19689.5</v>
      </c>
      <c r="K56">
        <v>69.165722847202829</v>
      </c>
      <c r="L56">
        <v>0.78272820262201637</v>
      </c>
      <c r="M56">
        <v>-0.24914364366790481</v>
      </c>
      <c r="N56">
        <v>-0.19501175640287921</v>
      </c>
      <c r="O56" t="s">
        <v>21</v>
      </c>
      <c r="Q56">
        <f t="shared" si="0"/>
        <v>-0.60282143819926037</v>
      </c>
      <c r="R56">
        <f t="shared" si="1"/>
        <v>-0.68510615304900258</v>
      </c>
    </row>
    <row r="57" spans="1:18">
      <c r="A57" t="s">
        <v>74</v>
      </c>
      <c r="B57">
        <v>32309</v>
      </c>
      <c r="C57">
        <v>3880.3616666666671</v>
      </c>
      <c r="D57">
        <v>8.3262857371112737</v>
      </c>
      <c r="E57">
        <v>-1.0185221384167249</v>
      </c>
      <c r="F57">
        <v>-9.8077376381456777E-2</v>
      </c>
      <c r="G57">
        <v>9.9893979122343338E-2</v>
      </c>
      <c r="H57" t="s">
        <v>16</v>
      </c>
      <c r="I57">
        <v>449353</v>
      </c>
      <c r="J57">
        <v>20857.75333333333</v>
      </c>
      <c r="K57">
        <v>21.543691346751</v>
      </c>
      <c r="L57">
        <v>-0.86051786067503722</v>
      </c>
      <c r="M57">
        <v>-0.13593747359534339</v>
      </c>
      <c r="N57">
        <v>0.11697662396383431</v>
      </c>
      <c r="O57" t="s">
        <v>16</v>
      </c>
      <c r="Q57">
        <f t="shared" si="0"/>
        <v>-0.19606244385369084</v>
      </c>
      <c r="R57">
        <f t="shared" si="1"/>
        <v>-0.18552301503917537</v>
      </c>
    </row>
    <row r="58" spans="1:18">
      <c r="A58" t="s">
        <v>75</v>
      </c>
      <c r="B58">
        <v>61336.4</v>
      </c>
      <c r="C58">
        <v>3746.5966666666668</v>
      </c>
      <c r="D58">
        <v>16.371231135101279</v>
      </c>
      <c r="E58">
        <v>-0.30879425484809619</v>
      </c>
      <c r="F58">
        <v>-0.14064804458570529</v>
      </c>
      <c r="G58">
        <v>4.3431308123684682E-2</v>
      </c>
      <c r="H58" t="s">
        <v>16</v>
      </c>
      <c r="I58">
        <v>749962.8</v>
      </c>
      <c r="J58">
        <v>22528.664166666669</v>
      </c>
      <c r="K58">
        <v>33.289270702061522</v>
      </c>
      <c r="L58">
        <v>-0.45522483917564899</v>
      </c>
      <c r="M58">
        <v>-0.31694790045169058</v>
      </c>
      <c r="N58">
        <v>0.1442825570101805</v>
      </c>
      <c r="O58" t="s">
        <v>16</v>
      </c>
      <c r="Q58">
        <f t="shared" si="0"/>
        <v>-0.29527120884081037</v>
      </c>
      <c r="R58">
        <f t="shared" si="1"/>
        <v>-0.14179836189169132</v>
      </c>
    </row>
    <row r="59" spans="1:18">
      <c r="A59" t="s">
        <v>76</v>
      </c>
      <c r="B59">
        <v>50678.6</v>
      </c>
      <c r="C59">
        <v>3524.3608333333332</v>
      </c>
      <c r="D59">
        <v>14.37951515085596</v>
      </c>
      <c r="E59">
        <v>-0.48450413232239392</v>
      </c>
      <c r="F59">
        <v>-0.54340986058157681</v>
      </c>
      <c r="G59">
        <v>0.26328432299650989</v>
      </c>
      <c r="H59" t="s">
        <v>16</v>
      </c>
      <c r="I59">
        <v>746513.3</v>
      </c>
      <c r="J59">
        <v>22148.289166666669</v>
      </c>
      <c r="K59">
        <v>33.705235396849879</v>
      </c>
      <c r="L59">
        <v>-0.44087155928302107</v>
      </c>
      <c r="M59">
        <v>-0.42099767848549519</v>
      </c>
      <c r="N59">
        <v>0.1856059029684323</v>
      </c>
      <c r="O59" t="s">
        <v>16</v>
      </c>
      <c r="Q59">
        <f t="shared" si="0"/>
        <v>9.1025537282765009E-2</v>
      </c>
      <c r="R59">
        <f t="shared" si="1"/>
        <v>-7.5627798671921723E-2</v>
      </c>
    </row>
    <row r="60" spans="1:18">
      <c r="A60" t="s">
        <v>77</v>
      </c>
      <c r="B60">
        <v>58094.5</v>
      </c>
      <c r="C60">
        <v>3392.7833333333328</v>
      </c>
      <c r="D60">
        <v>17.12296197320784</v>
      </c>
      <c r="E60">
        <v>-0.24247629862232251</v>
      </c>
      <c r="F60">
        <v>-0.12179289856461679</v>
      </c>
      <c r="G60">
        <v>2.9531891242432259E-2</v>
      </c>
      <c r="H60" t="s">
        <v>16</v>
      </c>
      <c r="I60">
        <v>757419.2</v>
      </c>
      <c r="J60">
        <v>21096.574166666662</v>
      </c>
      <c r="K60">
        <v>35.902473738923412</v>
      </c>
      <c r="L60">
        <v>-0.36505364177768712</v>
      </c>
      <c r="M60">
        <v>-0.28307493932823591</v>
      </c>
      <c r="N60">
        <v>0.1033375374977703</v>
      </c>
      <c r="O60" t="s">
        <v>16</v>
      </c>
      <c r="Q60">
        <f t="shared" si="0"/>
        <v>-0.31969343255854649</v>
      </c>
      <c r="R60">
        <f t="shared" si="1"/>
        <v>-0.20736311564899476</v>
      </c>
    </row>
    <row r="61" spans="1:18">
      <c r="A61" t="s">
        <v>78</v>
      </c>
      <c r="B61">
        <v>101362.5</v>
      </c>
      <c r="C61">
        <v>4187.7933333333331</v>
      </c>
      <c r="D61">
        <v>24.20427464583576</v>
      </c>
      <c r="E61">
        <v>0.38223957046084089</v>
      </c>
      <c r="F61">
        <v>0.15260163161355789</v>
      </c>
      <c r="G61">
        <v>5.8330382119589873E-2</v>
      </c>
      <c r="H61" t="s">
        <v>18</v>
      </c>
      <c r="I61">
        <v>1062849</v>
      </c>
      <c r="J61">
        <v>20615.143333333341</v>
      </c>
      <c r="K61">
        <v>51.556711627682098</v>
      </c>
      <c r="L61">
        <v>0.17511157113168299</v>
      </c>
      <c r="M61">
        <v>5.0485847669396948E-2</v>
      </c>
      <c r="N61">
        <v>8.8406561053029162E-3</v>
      </c>
      <c r="O61" t="s">
        <v>18</v>
      </c>
      <c r="Q61">
        <f t="shared" si="0"/>
        <v>-0.26909251937320483</v>
      </c>
      <c r="R61">
        <f t="shared" si="1"/>
        <v>-0.35867980405483035</v>
      </c>
    </row>
    <row r="62" spans="1:18">
      <c r="A62" t="s">
        <v>79</v>
      </c>
      <c r="B62">
        <v>57710.3</v>
      </c>
      <c r="C62">
        <v>3480.9650000000001</v>
      </c>
      <c r="D62">
        <v>16.578822251875561</v>
      </c>
      <c r="E62">
        <v>-0.29048049426089939</v>
      </c>
      <c r="F62">
        <v>-0.26986040011966828</v>
      </c>
      <c r="G62">
        <v>7.8389182408205346E-2</v>
      </c>
      <c r="H62" t="s">
        <v>16</v>
      </c>
      <c r="I62">
        <v>645768.19999999995</v>
      </c>
      <c r="J62">
        <v>19671.61416666667</v>
      </c>
      <c r="K62">
        <v>32.827412866517427</v>
      </c>
      <c r="L62">
        <v>-0.47116170801866619</v>
      </c>
      <c r="M62">
        <v>-0.37138465004680021</v>
      </c>
      <c r="N62">
        <v>0.17498222604796501</v>
      </c>
      <c r="O62" t="s">
        <v>16</v>
      </c>
      <c r="Q62">
        <f t="shared" si="0"/>
        <v>-0.23384783879824422</v>
      </c>
      <c r="R62">
        <f t="shared" si="1"/>
        <v>-9.2639361240025225E-2</v>
      </c>
    </row>
    <row r="63" spans="1:18">
      <c r="A63" t="s">
        <v>80</v>
      </c>
      <c r="B63">
        <v>172004.4</v>
      </c>
      <c r="C63">
        <v>6016.8208333333323</v>
      </c>
      <c r="D63">
        <v>28.58725642071499</v>
      </c>
      <c r="E63">
        <v>0.76890774841791054</v>
      </c>
      <c r="F63">
        <v>-0.17812577108132119</v>
      </c>
      <c r="G63">
        <v>-0.1369622855773428</v>
      </c>
      <c r="H63" t="s">
        <v>21</v>
      </c>
      <c r="I63">
        <v>3665840.4</v>
      </c>
      <c r="J63">
        <v>27125.1875</v>
      </c>
      <c r="K63">
        <v>135.1452556779561</v>
      </c>
      <c r="L63">
        <v>3.0594183010124092</v>
      </c>
      <c r="M63">
        <v>2.0240775426759582E-2</v>
      </c>
      <c r="N63">
        <v>6.1924998767310523E-2</v>
      </c>
      <c r="O63" t="s">
        <v>18</v>
      </c>
      <c r="Q63">
        <f t="shared" si="0"/>
        <v>-0.61223505993266381</v>
      </c>
      <c r="R63">
        <f t="shared" si="1"/>
        <v>-0.27367650215267986</v>
      </c>
    </row>
    <row r="64" spans="1:18">
      <c r="A64" t="s">
        <v>81</v>
      </c>
      <c r="B64">
        <v>82546.5</v>
      </c>
      <c r="C64">
        <v>3748.6833333333329</v>
      </c>
      <c r="D64">
        <v>22.020131512842291</v>
      </c>
      <c r="E64">
        <v>0.18955370293740131</v>
      </c>
      <c r="F64">
        <v>1.30812346991721</v>
      </c>
      <c r="G64">
        <v>0.24795964762212949</v>
      </c>
      <c r="H64" t="s">
        <v>18</v>
      </c>
      <c r="I64">
        <v>1124324.2</v>
      </c>
      <c r="J64">
        <v>21935.77583333333</v>
      </c>
      <c r="K64">
        <v>51.255273966261591</v>
      </c>
      <c r="L64">
        <v>0.16471016164006941</v>
      </c>
      <c r="M64">
        <v>0.85879761404426191</v>
      </c>
      <c r="N64">
        <v>0.14145269382533629</v>
      </c>
      <c r="O64" t="s">
        <v>18</v>
      </c>
      <c r="Q64">
        <f t="shared" si="0"/>
        <v>6.4099037157453548E-2</v>
      </c>
      <c r="R64">
        <f t="shared" si="1"/>
        <v>-0.14632978683886794</v>
      </c>
    </row>
    <row r="65" spans="1:18">
      <c r="A65" t="s">
        <v>82</v>
      </c>
      <c r="B65">
        <v>54178.9</v>
      </c>
      <c r="C65">
        <v>3322.119999999999</v>
      </c>
      <c r="D65">
        <v>16.30853190131603</v>
      </c>
      <c r="E65">
        <v>-0.31432560307911062</v>
      </c>
      <c r="F65">
        <v>-0.37101711401854542</v>
      </c>
      <c r="G65">
        <v>0.1166201781165504</v>
      </c>
      <c r="H65" t="s">
        <v>16</v>
      </c>
      <c r="I65">
        <v>761464.9</v>
      </c>
      <c r="J65">
        <v>21565.200000000001</v>
      </c>
      <c r="K65">
        <v>35.30989279023612</v>
      </c>
      <c r="L65">
        <v>-0.38550124303354671</v>
      </c>
      <c r="M65">
        <v>-0.36071827521134059</v>
      </c>
      <c r="N65">
        <v>0.13905734347888879</v>
      </c>
      <c r="O65" t="s">
        <v>16</v>
      </c>
      <c r="Q65">
        <f t="shared" si="0"/>
        <v>-0.16667337111245437</v>
      </c>
      <c r="R65">
        <f t="shared" si="1"/>
        <v>-0.15016543174751673</v>
      </c>
    </row>
    <row r="66" spans="1:18">
      <c r="A66" t="s">
        <v>83</v>
      </c>
      <c r="B66">
        <v>44610</v>
      </c>
      <c r="C66">
        <v>3828.378333333334</v>
      </c>
      <c r="D66">
        <v>11.652453366895561</v>
      </c>
      <c r="E66">
        <v>-0.72508647223170841</v>
      </c>
      <c r="F66">
        <v>-0.75491894735507548</v>
      </c>
      <c r="G66">
        <v>0.54738151635856647</v>
      </c>
      <c r="H66" t="s">
        <v>16</v>
      </c>
      <c r="I66">
        <v>553019.80000000005</v>
      </c>
      <c r="J66">
        <v>22227.929166666661</v>
      </c>
      <c r="K66">
        <v>24.87950163298688</v>
      </c>
      <c r="L66">
        <v>-0.74541237382257208</v>
      </c>
      <c r="M66">
        <v>-0.66673665938694737</v>
      </c>
      <c r="N66">
        <v>0.49699375598815609</v>
      </c>
      <c r="O66" t="s">
        <v>16</v>
      </c>
      <c r="Q66">
        <f t="shared" si="0"/>
        <v>0.59020368793075839</v>
      </c>
      <c r="R66">
        <f t="shared" si="1"/>
        <v>0.42299372231833188</v>
      </c>
    </row>
    <row r="67" spans="1:18">
      <c r="A67" t="s">
        <v>84</v>
      </c>
      <c r="B67">
        <v>49098.8</v>
      </c>
      <c r="C67">
        <v>3175.168333333334</v>
      </c>
      <c r="D67">
        <v>15.463369133709969</v>
      </c>
      <c r="E67">
        <v>-0.38888615665029069</v>
      </c>
      <c r="F67">
        <v>-2.9959988821807091E-2</v>
      </c>
      <c r="G67">
        <v>1.165102490619823E-2</v>
      </c>
      <c r="H67" t="s">
        <v>16</v>
      </c>
      <c r="I67">
        <v>609973.4</v>
      </c>
      <c r="J67">
        <v>20470.386666666669</v>
      </c>
      <c r="K67">
        <v>29.797844561151429</v>
      </c>
      <c r="L67">
        <v>-0.57570000750794714</v>
      </c>
      <c r="M67">
        <v>-0.32459406813205882</v>
      </c>
      <c r="N67">
        <v>0.1868688074606614</v>
      </c>
      <c r="O67" t="s">
        <v>16</v>
      </c>
      <c r="Q67">
        <f t="shared" ref="Q67:Q80" si="2">(G67-AVERAGE(G:G))/SQRT(VAR(G:G))</f>
        <v>-0.35111133459438321</v>
      </c>
      <c r="R67">
        <f t="shared" ref="R67:R80" si="3">(N67-AVERAGE(N:N))/SQRT(VAR(N:N))</f>
        <v>-7.3605525315161041E-2</v>
      </c>
    </row>
    <row r="68" spans="1:18">
      <c r="A68" t="s">
        <v>85</v>
      </c>
      <c r="B68">
        <v>61158.400000000001</v>
      </c>
      <c r="C68">
        <v>3637.3358333333331</v>
      </c>
      <c r="D68">
        <v>16.814064689746601</v>
      </c>
      <c r="E68">
        <v>-0.26972732450073561</v>
      </c>
      <c r="F68">
        <v>0.18327207452974839</v>
      </c>
      <c r="G68">
        <v>-4.9433486318608451E-2</v>
      </c>
      <c r="H68" t="s">
        <v>28</v>
      </c>
      <c r="I68">
        <v>690822.6</v>
      </c>
      <c r="J68">
        <v>20707.107499999998</v>
      </c>
      <c r="K68">
        <v>33.36161750258939</v>
      </c>
      <c r="L68">
        <v>-0.45272844010543239</v>
      </c>
      <c r="M68">
        <v>-0.20674061932914509</v>
      </c>
      <c r="N68">
        <v>9.3597358095314845E-2</v>
      </c>
      <c r="O68" t="s">
        <v>16</v>
      </c>
      <c r="Q68">
        <f t="shared" si="2"/>
        <v>-0.45844098817380524</v>
      </c>
      <c r="R68">
        <f t="shared" si="3"/>
        <v>-0.22295994455953883</v>
      </c>
    </row>
    <row r="69" spans="1:18">
      <c r="A69" t="s">
        <v>86</v>
      </c>
      <c r="B69">
        <v>128090.8</v>
      </c>
      <c r="C69">
        <v>4313.873333333333</v>
      </c>
      <c r="D69">
        <v>29.69275871181506</v>
      </c>
      <c r="E69">
        <v>0.86643554537956036</v>
      </c>
      <c r="F69">
        <v>1.73318572198216</v>
      </c>
      <c r="G69">
        <v>1.50169371626968</v>
      </c>
      <c r="H69" t="s">
        <v>18</v>
      </c>
      <c r="I69">
        <v>1053059.7</v>
      </c>
      <c r="J69">
        <v>21417.410833333332</v>
      </c>
      <c r="K69">
        <v>49.168394265522217</v>
      </c>
      <c r="L69">
        <v>9.2700279978847694E-2</v>
      </c>
      <c r="M69">
        <v>1.0581243168479091</v>
      </c>
      <c r="N69">
        <v>9.8088420424228134E-2</v>
      </c>
      <c r="O69" t="s">
        <v>18</v>
      </c>
      <c r="Q69">
        <f t="shared" si="2"/>
        <v>2.2669953290412508</v>
      </c>
      <c r="R69">
        <f t="shared" si="3"/>
        <v>-0.21576846195163205</v>
      </c>
    </row>
    <row r="70" spans="1:18">
      <c r="A70" t="s">
        <v>87</v>
      </c>
      <c r="B70">
        <v>53715.1</v>
      </c>
      <c r="C70">
        <v>3362.831666666666</v>
      </c>
      <c r="D70">
        <v>15.973175384435439</v>
      </c>
      <c r="E70">
        <v>-0.34391087174060758</v>
      </c>
      <c r="F70">
        <v>0.12683509368336321</v>
      </c>
      <c r="G70">
        <v>-4.3619967635947061E-2</v>
      </c>
      <c r="H70" t="s">
        <v>28</v>
      </c>
      <c r="I70">
        <v>891343.5</v>
      </c>
      <c r="J70">
        <v>21426.351666666669</v>
      </c>
      <c r="K70">
        <v>41.600339332928897</v>
      </c>
      <c r="L70">
        <v>-0.16844306235592471</v>
      </c>
      <c r="M70">
        <v>-0.19558958355752931</v>
      </c>
      <c r="N70">
        <v>3.294570841935026E-2</v>
      </c>
      <c r="O70" t="s">
        <v>16</v>
      </c>
      <c r="Q70">
        <f t="shared" si="2"/>
        <v>-0.44822623923374738</v>
      </c>
      <c r="R70">
        <f t="shared" si="3"/>
        <v>-0.32008068166832354</v>
      </c>
    </row>
    <row r="71" spans="1:18">
      <c r="A71" t="s">
        <v>88</v>
      </c>
      <c r="B71">
        <v>467803.8</v>
      </c>
      <c r="C71">
        <v>4884.9174999999996</v>
      </c>
      <c r="D71">
        <v>95.76493359406787</v>
      </c>
      <c r="E71">
        <v>6.6953458141395794</v>
      </c>
      <c r="F71">
        <v>0.49736812760589683</v>
      </c>
      <c r="G71">
        <v>3.3300516112525811</v>
      </c>
      <c r="H71" t="s">
        <v>18</v>
      </c>
      <c r="I71">
        <v>4725734.0999999996</v>
      </c>
      <c r="J71">
        <v>23427.89166666667</v>
      </c>
      <c r="K71">
        <v>201.71401538123891</v>
      </c>
      <c r="L71">
        <v>5.3564402648895522</v>
      </c>
      <c r="M71">
        <v>0.18809685169223911</v>
      </c>
      <c r="N71">
        <v>1.0075295501032679</v>
      </c>
      <c r="O71" t="s">
        <v>18</v>
      </c>
      <c r="Q71">
        <f t="shared" si="2"/>
        <v>5.4795448862524614</v>
      </c>
      <c r="R71">
        <f t="shared" si="3"/>
        <v>1.2405083803660866</v>
      </c>
    </row>
    <row r="72" spans="1:18">
      <c r="A72" t="s">
        <v>89</v>
      </c>
      <c r="B72">
        <v>64732.3</v>
      </c>
      <c r="C72">
        <v>3345.768333333333</v>
      </c>
      <c r="D72">
        <v>19.347514098654969</v>
      </c>
      <c r="E72">
        <v>-4.6225535717685631E-2</v>
      </c>
      <c r="F72">
        <v>0.30247962263405542</v>
      </c>
      <c r="G72">
        <v>-1.3982282599942599E-2</v>
      </c>
      <c r="H72" t="s">
        <v>28</v>
      </c>
      <c r="I72">
        <v>979470.7</v>
      </c>
      <c r="J72">
        <v>20446.49833333334</v>
      </c>
      <c r="K72">
        <v>47.904080397140532</v>
      </c>
      <c r="L72">
        <v>4.9073859149438688E-2</v>
      </c>
      <c r="M72">
        <v>-2.2400285112853111E-2</v>
      </c>
      <c r="N72">
        <v>-1.099268436535422E-3</v>
      </c>
      <c r="O72" t="s">
        <v>21</v>
      </c>
      <c r="Q72">
        <f t="shared" si="2"/>
        <v>-0.39615080465912222</v>
      </c>
      <c r="R72">
        <f t="shared" si="3"/>
        <v>-0.37459648238866972</v>
      </c>
    </row>
    <row r="73" spans="1:18">
      <c r="A73" t="s">
        <v>90</v>
      </c>
      <c r="B73">
        <v>49606.5</v>
      </c>
      <c r="C73">
        <v>3398.2266666666669</v>
      </c>
      <c r="D73">
        <v>14.597760792884131</v>
      </c>
      <c r="E73">
        <v>-0.46525042580830989</v>
      </c>
      <c r="F73">
        <v>-0.1052449859979576</v>
      </c>
      <c r="G73">
        <v>4.8965274549739403E-2</v>
      </c>
      <c r="H73" t="s">
        <v>16</v>
      </c>
      <c r="I73">
        <v>669091.6</v>
      </c>
      <c r="J73">
        <v>20667.550833333331</v>
      </c>
      <c r="K73">
        <v>32.374014966537118</v>
      </c>
      <c r="L73">
        <v>-0.48680665828171249</v>
      </c>
      <c r="M73">
        <v>-0.16283708632570451</v>
      </c>
      <c r="N73">
        <v>7.9270177838546951E-2</v>
      </c>
      <c r="O73" t="s">
        <v>16</v>
      </c>
      <c r="Q73">
        <f t="shared" si="2"/>
        <v>-0.28554765228745294</v>
      </c>
      <c r="R73">
        <f t="shared" si="3"/>
        <v>-0.24590188125312795</v>
      </c>
    </row>
    <row r="74" spans="1:18">
      <c r="A74" t="s">
        <v>91</v>
      </c>
      <c r="B74">
        <v>94795.1</v>
      </c>
      <c r="C74">
        <v>5117.0349999999999</v>
      </c>
      <c r="D74">
        <v>18.52539605455112</v>
      </c>
      <c r="E74">
        <v>-0.1187530757593101</v>
      </c>
      <c r="F74">
        <v>0.14053701975543101</v>
      </c>
      <c r="G74">
        <v>-1.668920335400436E-2</v>
      </c>
      <c r="H74" t="s">
        <v>28</v>
      </c>
      <c r="I74">
        <v>1240000.3999999999</v>
      </c>
      <c r="J74">
        <v>26314.754166666669</v>
      </c>
      <c r="K74">
        <v>47.121869052864987</v>
      </c>
      <c r="L74">
        <v>2.2082870490442091E-2</v>
      </c>
      <c r="M74">
        <v>1.1815512438965741</v>
      </c>
      <c r="N74">
        <v>2.6092043096788791E-2</v>
      </c>
      <c r="O74" t="s">
        <v>18</v>
      </c>
      <c r="Q74">
        <f t="shared" si="2"/>
        <v>-0.4009070490977682</v>
      </c>
      <c r="R74">
        <f t="shared" si="3"/>
        <v>-0.33105537125352485</v>
      </c>
    </row>
    <row r="75" spans="1:18">
      <c r="A75" t="s">
        <v>92</v>
      </c>
      <c r="B75">
        <v>81894.8</v>
      </c>
      <c r="C75">
        <v>3565.255000000001</v>
      </c>
      <c r="D75">
        <v>22.970250374797871</v>
      </c>
      <c r="E75">
        <v>0.27337351968877988</v>
      </c>
      <c r="F75">
        <v>5.5562324744101693E-2</v>
      </c>
      <c r="G75">
        <v>1.518926827738607E-2</v>
      </c>
      <c r="H75" t="s">
        <v>18</v>
      </c>
      <c r="I75">
        <v>870656.5</v>
      </c>
      <c r="J75">
        <v>20059.418333333331</v>
      </c>
      <c r="K75">
        <v>43.403875702278178</v>
      </c>
      <c r="L75">
        <v>-0.10621022714144771</v>
      </c>
      <c r="M75">
        <v>-9.1676554174596525E-2</v>
      </c>
      <c r="N75">
        <v>9.7369876424291298E-3</v>
      </c>
      <c r="O75" t="s">
        <v>16</v>
      </c>
      <c r="Q75">
        <f t="shared" si="2"/>
        <v>-0.34489439960227586</v>
      </c>
      <c r="R75">
        <f t="shared" si="3"/>
        <v>-0.3572445194410625</v>
      </c>
    </row>
    <row r="76" spans="1:18">
      <c r="A76" t="s">
        <v>93</v>
      </c>
      <c r="B76">
        <v>45955.1</v>
      </c>
      <c r="C76">
        <v>3202.8924999999999</v>
      </c>
      <c r="D76">
        <v>14.347999503573719</v>
      </c>
      <c r="E76">
        <v>-0.48728445369667017</v>
      </c>
      <c r="F76">
        <v>-0.1537789479671455</v>
      </c>
      <c r="G76">
        <v>7.4934090650219151E-2</v>
      </c>
      <c r="H76" t="s">
        <v>16</v>
      </c>
      <c r="I76">
        <v>606491.9</v>
      </c>
      <c r="J76">
        <v>19486.488333333331</v>
      </c>
      <c r="K76">
        <v>31.123714525954011</v>
      </c>
      <c r="L76">
        <v>-0.52994953169960235</v>
      </c>
      <c r="M76">
        <v>-0.17274054230895239</v>
      </c>
      <c r="N76">
        <v>9.1543769502164654E-2</v>
      </c>
      <c r="O76" t="s">
        <v>16</v>
      </c>
      <c r="Q76">
        <f t="shared" si="2"/>
        <v>-0.23991867073311901</v>
      </c>
      <c r="R76">
        <f t="shared" si="3"/>
        <v>-0.22624833059603564</v>
      </c>
    </row>
    <row r="77" spans="1:18">
      <c r="A77" t="s">
        <v>94</v>
      </c>
      <c r="B77">
        <v>238227.20000000001</v>
      </c>
      <c r="C77">
        <v>8581.18</v>
      </c>
      <c r="D77">
        <v>27.761589897892829</v>
      </c>
      <c r="E77">
        <v>0.6960671603484816</v>
      </c>
      <c r="F77">
        <v>0.35073354486054881</v>
      </c>
      <c r="G77">
        <v>0.24413410261003901</v>
      </c>
      <c r="H77" t="s">
        <v>18</v>
      </c>
      <c r="I77">
        <v>4678056.5</v>
      </c>
      <c r="J77">
        <v>36570.944166666683</v>
      </c>
      <c r="K77">
        <v>127.9173017431666</v>
      </c>
      <c r="L77">
        <v>2.8100104854528678</v>
      </c>
      <c r="M77">
        <v>1.423149681608858</v>
      </c>
      <c r="N77">
        <v>3.9990655276898019</v>
      </c>
      <c r="O77" t="s">
        <v>18</v>
      </c>
      <c r="Q77">
        <f t="shared" si="2"/>
        <v>5.7377293581752919E-2</v>
      </c>
      <c r="R77">
        <f t="shared" si="3"/>
        <v>6.0308179726505982</v>
      </c>
    </row>
    <row r="78" spans="1:18">
      <c r="A78" t="s">
        <v>95</v>
      </c>
      <c r="B78">
        <v>84008.1</v>
      </c>
      <c r="C78">
        <v>3396.2941666666661</v>
      </c>
      <c r="D78">
        <v>24.7352248884998</v>
      </c>
      <c r="E78">
        <v>0.42908018569986428</v>
      </c>
      <c r="F78">
        <v>-9.3225344843364866E-2</v>
      </c>
      <c r="G78">
        <v>-4.0001148277324879E-2</v>
      </c>
      <c r="H78" t="s">
        <v>21</v>
      </c>
      <c r="I78">
        <v>868435</v>
      </c>
      <c r="J78">
        <v>21072.102500000001</v>
      </c>
      <c r="K78">
        <v>41.212546303815671</v>
      </c>
      <c r="L78">
        <v>-0.18182425060822169</v>
      </c>
      <c r="M78">
        <v>-0.32389120055506848</v>
      </c>
      <c r="N78">
        <v>5.8891274819522561E-2</v>
      </c>
      <c r="O78" t="s">
        <v>16</v>
      </c>
      <c r="Q78">
        <f t="shared" si="2"/>
        <v>-0.44186772673459701</v>
      </c>
      <c r="R78">
        <f t="shared" si="3"/>
        <v>-0.27853436682029997</v>
      </c>
    </row>
    <row r="79" spans="1:18">
      <c r="A79" t="s">
        <v>96</v>
      </c>
      <c r="B79">
        <v>268390.3</v>
      </c>
      <c r="C79">
        <v>5920.0350000000008</v>
      </c>
      <c r="D79">
        <v>45.335931290946753</v>
      </c>
      <c r="E79">
        <v>2.2464816759176029</v>
      </c>
      <c r="F79">
        <v>-0.19229012185618749</v>
      </c>
      <c r="G79">
        <v>-0.4319762352098882</v>
      </c>
      <c r="H79" t="s">
        <v>21</v>
      </c>
      <c r="I79">
        <v>3103504.3</v>
      </c>
      <c r="J79">
        <v>33251.41333333333</v>
      </c>
      <c r="K79">
        <v>93.334507886582074</v>
      </c>
      <c r="L79">
        <v>1.6166964231977361</v>
      </c>
      <c r="M79">
        <v>-8.9334421468356073E-2</v>
      </c>
      <c r="N79">
        <v>-0.14442663965633029</v>
      </c>
      <c r="O79" t="s">
        <v>21</v>
      </c>
      <c r="Q79">
        <f t="shared" si="2"/>
        <v>-1.1305946961197724</v>
      </c>
      <c r="R79">
        <f t="shared" si="3"/>
        <v>-0.60410483072049115</v>
      </c>
    </row>
    <row r="80" spans="1:18">
      <c r="A80" t="s">
        <v>97</v>
      </c>
      <c r="B80">
        <v>116030.9</v>
      </c>
      <c r="C80">
        <v>4159.7641666666668</v>
      </c>
      <c r="D80">
        <v>27.8936245784767</v>
      </c>
      <c r="E80">
        <v>0.7077153058327087</v>
      </c>
      <c r="F80">
        <v>0.53881358460713313</v>
      </c>
      <c r="G80">
        <v>0.38132662081705532</v>
      </c>
      <c r="H80" t="s">
        <v>18</v>
      </c>
      <c r="I80">
        <v>2301327.2999999998</v>
      </c>
      <c r="J80">
        <v>25332.430833333328</v>
      </c>
      <c r="K80">
        <v>90.845103462073993</v>
      </c>
      <c r="L80">
        <v>1.530797021352849</v>
      </c>
      <c r="M80">
        <v>0.2107665370978416</v>
      </c>
      <c r="N80">
        <v>0.32264078719023059</v>
      </c>
      <c r="O80" t="s">
        <v>18</v>
      </c>
      <c r="Q80">
        <f t="shared" si="2"/>
        <v>0.29843390773155704</v>
      </c>
      <c r="R80">
        <f t="shared" si="3"/>
        <v>0.14380446799092828</v>
      </c>
    </row>
  </sheetData>
  <autoFilter ref="A1:O80"/>
  <conditionalFormatting sqref="Q2:Q8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8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4.4"/>
  <sheetData>
    <row r="1" spans="1:4">
      <c r="A1" t="s">
        <v>98</v>
      </c>
      <c r="B1" t="s">
        <v>99</v>
      </c>
      <c r="C1" t="s">
        <v>100</v>
      </c>
      <c r="D1" t="s">
        <v>101</v>
      </c>
    </row>
    <row r="2" spans="1:4">
      <c r="A2">
        <v>2004</v>
      </c>
      <c r="B2">
        <v>0.2114789712744099</v>
      </c>
      <c r="C2">
        <v>5.6250743065085998E-2</v>
      </c>
      <c r="D2">
        <v>79</v>
      </c>
    </row>
    <row r="3" spans="1:4">
      <c r="A3">
        <v>2024</v>
      </c>
      <c r="B3">
        <v>0.2328352680593907</v>
      </c>
      <c r="C3">
        <v>8.3131709664048987E-3</v>
      </c>
      <c r="D3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 по регионам</vt:lpstr>
      <vt:lpstr>Глобальные индексы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Чирков</cp:lastModifiedBy>
  <dcterms:created xsi:type="dcterms:W3CDTF">2026-05-21T17:31:58Z</dcterms:created>
  <dcterms:modified xsi:type="dcterms:W3CDTF">2026-05-21T18:53:08Z</dcterms:modified>
</cp:coreProperties>
</file>